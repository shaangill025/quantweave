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48ba6e14e4d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f0bad73816b457d"/>
    <x:sheet xmlns:r="http://schemas.openxmlformats.org/officeDocument/2006/relationships" name="Tasks" sheetId="2" r:id="R0cd6379434024e17"/>
    <x:sheet xmlns:r="http://schemas.openxmlformats.org/officeDocument/2006/relationships" name="Requirements" sheetId="3" r:id="Ref049b36ead04bb8"/>
    <x:sheet xmlns:r="http://schemas.openxmlformats.org/officeDocument/2006/relationships" name="Gates" sheetId="4" r:id="R357265a0e93b47b4"/>
    <x:sheet xmlns:r="http://schemas.openxmlformats.org/officeDocument/2006/relationships" name="Qualifications" sheetId="5" r:id="Ra3043764f18c441d"/>
    <x:sheet xmlns:r="http://schemas.openxmlformats.org/officeDocument/2006/relationships" name="Risks" sheetId="6" r:id="Rd769de1768ff48bd"/>
    <x:sheet xmlns:r="http://schemas.openxmlformats.org/officeDocument/2006/relationships" name="Decisions" sheetId="7" r:id="R407f439438c448b6"/>
    <x:sheet xmlns:r="http://schemas.openxmlformats.org/officeDocument/2006/relationships" name="Sources" sheetId="8" r:id="Rc2580b3a3f80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D4ED8"/>
      <x:name val="Carlito"/>
    </x:font>
    <x:font>
      <x:b/>
      <x:sz val="11"/>
      <x:color rgb="FF16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3F6FA"/>
      </x:patternFill>
    </x:fill>
    <x:fill>
      <x:patternFill patternType="solid">
        <x:fgColor rgb="FF0E6F73"/>
      </x:patternFill>
    </x:fill>
    <x:fill>
      <x:patternFill patternType="solid">
        <x:fgColor rgb="FFEAF4F4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DBEFE5"/>
        </x:patternFill>
      </x:fill>
    </x:dxf>
    <x:dxf>
      <x:fill>
        <x:patternFill patternType="solid">
          <x:bgColor rgb="FFFDE6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2c780554194fba" /><Relationship Type="http://schemas.openxmlformats.org/officeDocument/2006/relationships/theme" Target="/xl/theme/theme1.xml" Id="Re03bc1a95cb74c23" /><Relationship Type="http://schemas.openxmlformats.org/officeDocument/2006/relationships/sharedStrings" Target="/xl/sharedStrings.xml" Id="Rc51e09abdd034231" /><Relationship Type="http://schemas.openxmlformats.org/officeDocument/2006/relationships/worksheet" Target="/xl/worksheets/sheet1.xml" Id="R8f0bad73816b457d" /><Relationship Type="http://schemas.openxmlformats.org/officeDocument/2006/relationships/worksheet" Target="/xl/worksheets/sheet2.xml" Id="R0cd6379434024e17" /><Relationship Type="http://schemas.openxmlformats.org/officeDocument/2006/relationships/worksheet" Target="/xl/worksheets/sheet3.xml" Id="Ref049b36ead04bb8" /><Relationship Type="http://schemas.openxmlformats.org/officeDocument/2006/relationships/worksheet" Target="/xl/worksheets/sheet4.xml" Id="R357265a0e93b47b4" /><Relationship Type="http://schemas.openxmlformats.org/officeDocument/2006/relationships/worksheet" Target="/xl/worksheets/sheet5.xml" Id="Ra3043764f18c441d" /><Relationship Type="http://schemas.openxmlformats.org/officeDocument/2006/relationships/worksheet" Target="/xl/worksheets/sheet6.xml" Id="Rd769de1768ff48bd" /><Relationship Type="http://schemas.openxmlformats.org/officeDocument/2006/relationships/worksheet" Target="/xl/worksheets/sheet7.xml" Id="R407f439438c448b6" /><Relationship Type="http://schemas.openxmlformats.org/officeDocument/2006/relationships/worksheet" Target="/xl/worksheets/sheet8.xml" Id="Rc2580b3a3f804cda" /></Relationships>
</file>

<file path=xl/tables/table1.xml><?xml version="1.0" encoding="utf-8"?>
<x:table xmlns:x="http://schemas.openxmlformats.org/spreadsheetml/2006/main" id="1" name="TasksTable" displayName="TasksTable" ref="A4:K70" headerRowCount="1" totalsRowCount="0" totalsRowShown="0">
  <x:tableColumns count="11">
    <x:tableColumn id="1" name="Task"/>
    <x:tableColumn id="2" name="Wave"/>
    <x:tableColumn id="3" name="Work package"/>
    <x:tableColumn id="4" name="Owner / role"/>
    <x:tableColumn id="5" name="Status"/>
    <x:tableColumn id="6" name="Relative size"/>
    <x:tableColumn id="7" name="Prerequisites"/>
    <x:tableColumn id="8" name="Requirements"/>
    <x:tableColumn id="9" name="Deliverable"/>
    <x:tableColumn id="10" name="Acceptance / evidence"/>
    <x:tableColumn id="11" name="Dependency readine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Table" displayName="RequirementsTable" ref="A4:H103" headerRowCount="1" totalsRowCount="0" totalsRowShown="0">
  <x:tableColumns count="8">
    <x:tableColumn id="1" name="Requirement"/>
    <x:tableColumn id="2" name="Decision lineage"/>
    <x:tableColumn id="3" name="Domain"/>
    <x:tableColumn id="4" name="Priority"/>
    <x:tableColumn id="5" name="Requirement statement"/>
    <x:tableColumn id="6" name="Acceptance criterion"/>
    <x:tableColumn id="7" name="Design status"/>
    <x:tableColumn id="8" name="Acceptance te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tesTable" displayName="GatesTable" ref="A4:H20" headerRowCount="1" totalsRowCount="0" totalsRowShown="0">
  <x:tableColumns count="8">
    <x:tableColumn id="1" name="Gate"/>
    <x:tableColumn id="2" name="Domain"/>
    <x:tableColumn id="3" name="Gate definition"/>
    <x:tableColumn id="4" name="Required evidence"/>
    <x:tableColumn id="5" name="Status"/>
    <x:tableColumn id="6" name="Evidence receipt"/>
    <x:tableColumn id="7" name="Owner"/>
    <x:tableColumn id="8" name="Release block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alificationsTable" displayName="QualificationsTable" ref="A4:J28" headerRowCount="1" totalsRowCount="0" totalsRowShown="0">
  <x:tableColumns count="10">
    <x:tableColumn id="1" name="Check"/>
    <x:tableColumn id="2" name="Capability"/>
    <x:tableColumn id="3" name="Owner"/>
    <x:tableColumn id="4" name="Tasks"/>
    <x:tableColumn id="5" name="Current evidence status"/>
    <x:tableColumn id="6" name="Scope"/>
    <x:tableColumn id="7" name="Qualification requirement"/>
    <x:tableColumn id="8" name="Required receipt"/>
    <x:tableColumn id="9" name="Source IDs"/>
    <x:tableColumn id="10" name="Source URL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sTable" displayName="RisksTable" ref="A4:H22" headerRowCount="1" totalsRowCount="0" totalsRowShown="0">
  <x:tableColumns count="8">
    <x:tableColumn id="1" name="Risk"/>
    <x:tableColumn id="2" name="Description"/>
    <x:tableColumn id="3" name="Severity"/>
    <x:tableColumn id="4" name="Likelihood"/>
    <x:tableColumn id="5" name="Failure mode"/>
    <x:tableColumn id="6" name="Mitigation"/>
    <x:tableColumn id="7" name="Gate / task"/>
    <x:tableColumn id="8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cisionsTable" displayName="DecisionsTable" ref="A4:F83" headerRowCount="1" totalsRowCount="0" totalsRowShown="0">
  <x:tableColumns count="6">
    <x:tableColumn id="1" name="Decision"/>
    <x:tableColumn id="2" name="Authority"/>
    <x:tableColumn id="3" name="Domain"/>
    <x:tableColumn id="4" name="Decision statement"/>
    <x:tableColumn id="5" name="Status"/>
    <x:tableColumn id="6" name="Requirem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4:G30" headerRowCount="1" totalsRowCount="0" totalsRowShown="0">
  <x:tableColumns count="7">
    <x:tableColumn id="1" name="Source"/>
    <x:tableColumn id="2" name="Title"/>
    <x:tableColumn id="3" name="URL / library reference"/>
    <x:tableColumn id="4" name="Verification performed"/>
    <x:tableColumn id="5" name="Supported point"/>
    <x:tableColumn id="6" name="Limitation"/>
    <x:tableColumn id="7" name="Checked 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38da8ec07949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078770f4054b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41dc41601c42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5466fe65dd49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5634e9b02a42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75370fc0fa49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9f8d2dafa84ed0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3" t="str">
        <x:v>PORTFOLIO INTELLIGENCE · BUILD READINESS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5" customHeight="1">
      <x:c r="A3" s="6" t="str">
        <x:v>v1.0.0 · 8 October 2026 · Design baseline, not a production-ready application</x:v>
      </x:c>
      <x:c r="B3" s="6"/>
      <x:c r="C3" s="6"/>
      <x:c r="D3" s="6"/>
      <x:c r="E3" s="6"/>
      <x:c r="F3" s="6"/>
      <x:c r="G3" s="6"/>
      <x:c r="H3" s="6"/>
    </x:row>
    <x:row r="5" ht="27" customHeight="1">
      <x:c r="A5" s="11" t="str">
        <x:v>WORK PACKAGES</x:v>
      </x:c>
      <x:c r="B5" s="11"/>
      <x:c r="C5" s="11" t="str">
        <x:v>REQUIREMENTS</x:v>
      </x:c>
      <x:c r="D5" s="11"/>
      <x:c r="E5" s="11" t="str">
        <x:v>OPEN RELEASE GATES</x:v>
      </x:c>
      <x:c r="F5" s="11"/>
      <x:c r="G5" s="11" t="str">
        <x:v>TASKS COMPLETED</x:v>
      </x:c>
      <x:c r="H5" s="11"/>
    </x:row>
    <x:row r="6" ht="22" customHeight="1">
      <x:c r="A6" s="26" t="n">
        <x:f>COUNTA(Tasks!A5:A70)</x:f>
        <x:v>66</x:v>
      </x:c>
      <x:c r="B6" s="26"/>
      <x:c r="C6" s="26" t="n">
        <x:f>COUNTA(Requirements!A5:A103)</x:f>
        <x:v>99</x:v>
      </x:c>
      <x:c r="D6" s="26"/>
      <x:c r="E6" s="26" t="n">
        <x:f>COUNTA(Gates!A5:A20)-COUNTIF(Gates!E5:E20,"Passed")</x:f>
        <x:v>16</x:v>
      </x:c>
      <x:c r="F6" s="26"/>
      <x:c r="G6" s="26" t="n">
        <x:f>COUNTIF(Tasks!E5:E70,"Completed")</x:f>
        <x:v>0</x:v>
      </x:c>
      <x:c r="H6" s="26"/>
    </x:row>
    <x:row r="7" ht="22" customHeight="1">
      <x:c r="A7" s="26"/>
      <x:c r="B7" s="26"/>
      <x:c r="C7" s="26"/>
      <x:c r="D7" s="26"/>
      <x:c r="E7" s="26"/>
      <x:c r="F7" s="26"/>
      <x:c r="G7" s="26"/>
      <x:c r="H7" s="26"/>
    </x:row>
    <x:row r="9" ht="25" customHeight="1">
      <x:c r="A9" s="3" t="str">
        <x:v>Wave</x:v>
      </x:c>
      <x:c r="B9" s="3" t="str">
        <x:v>Work packages</x:v>
      </x:c>
      <x:c r="C9" s="3" t="str">
        <x:v>Completed</x:v>
      </x:c>
      <x:c r="D9" s="3" t="str">
        <x:v>Progress</x:v>
      </x:c>
      <x:c r="E9" s="3" t="str">
        <x:v>Ready now</x:v>
      </x:c>
      <x:c r="F9" s="3" t="str">
        <x:v>NON-NEGOTIABLES</x:v>
      </x:c>
      <x:c r="G9" s="3"/>
      <x:c r="H9" s="3"/>
    </x:row>
    <x:row r="10" ht="28" customHeight="1">
      <x:c r="A10" t="str">
        <x:v>W0</x:v>
      </x:c>
      <x:c r="B10" t="n">
        <x:f>COUNTIF(Tasks!$B$5:$B$70,A10)</x:f>
        <x:v>8</x:v>
      </x:c>
      <x:c r="C10" t="n">
        <x:f>COUNTIFS(Tasks!$B$5:$B$70,A10,Tasks!$E$5:$E$70,"Completed")</x:f>
        <x:v>0</x:v>
      </x:c>
      <x:c r="D10" s="30" t="n">
        <x:f>IF(B10=0,0,C10/B10)</x:f>
        <x:v>0</x:v>
      </x:c>
      <x:c r="E10" t="n">
        <x:f>COUNTIFS(Tasks!$B$5:$B$70,A10,Tasks!$K$5:$K$70,"Ready")</x:f>
        <x:v>1</x:v>
      </x:c>
      <x:c r="F10" s="7" t="str">
        <x:v>Hosted + complete self-hosted</x:v>
      </x:c>
      <x:c r="G10" s="7"/>
      <x:c r="H10" s="7"/>
    </x:row>
    <x:row r="11" ht="28" customHeight="1">
      <x:c r="A11" t="str">
        <x:v>W1</x:v>
      </x:c>
      <x:c r="B11" t="n">
        <x:f>COUNTIF(Tasks!$B$5:$B$70,A11)</x:f>
        <x:v>10</x:v>
      </x:c>
      <x:c r="C11" t="n">
        <x:f>COUNTIFS(Tasks!$B$5:$B$70,A11,Tasks!$E$5:$E$70,"Completed")</x:f>
        <x:v>0</x:v>
      </x:c>
      <x:c r="D11" s="30" t="n">
        <x:f>IF(B11=0,0,C11/B11)</x:f>
        <x:v>0</x:v>
      </x:c>
      <x:c r="E11" t="n">
        <x:f>COUNTIFS(Tasks!$B$5:$B$70,A11,Tasks!$K$5:$K$70,"Ready")</x:f>
        <x:v>0</x:v>
      </x:c>
      <x:c r="F11" s="7" t="str">
        <x:v>Six strategy/research families</x:v>
      </x:c>
      <x:c r="G11" s="7"/>
      <x:c r="H11" s="7"/>
    </x:row>
    <x:row r="12" ht="28" customHeight="1">
      <x:c r="A12" t="str">
        <x:v>W2</x:v>
      </x:c>
      <x:c r="B12" t="n">
        <x:f>COUNTIF(Tasks!$B$5:$B$70,A12)</x:f>
        <x:v>8</x:v>
      </x:c>
      <x:c r="C12" t="n">
        <x:f>COUNTIFS(Tasks!$B$5:$B$70,A12,Tasks!$E$5:$E$70,"Completed")</x:f>
        <x:v>0</x:v>
      </x:c>
      <x:c r="D12" s="30" t="n">
        <x:f>IF(B12=0,0,C12/B12)</x:f>
        <x:v>0</x:v>
      </x:c>
      <x:c r="E12" t="n">
        <x:f>COUNTIFS(Tasks!$B$5:$B$70,A12,Tasks!$K$5:$K$70,"Ready")</x:f>
        <x:v>0</x:v>
      </x:c>
      <x:c r="F12" s="7" t="str">
        <x:v>Six improvement targets incl. recursion</x:v>
      </x:c>
      <x:c r="G12" s="7"/>
      <x:c r="H12" s="7"/>
    </x:row>
    <x:row r="13" ht="28" customHeight="1">
      <x:c r="A13" t="str">
        <x:v>W3</x:v>
      </x:c>
      <x:c r="B13" t="n">
        <x:f>COUNTIF(Tasks!$B$5:$B$70,A13)</x:f>
        <x:v>7</x:v>
      </x:c>
      <x:c r="C13" t="n">
        <x:f>COUNTIFS(Tasks!$B$5:$B$70,A13,Tasks!$E$5:$E$70,"Completed")</x:f>
        <x:v>0</x:v>
      </x:c>
      <x:c r="D13" s="30" t="n">
        <x:f>IF(B13=0,0,C13/B13)</x:f>
        <x:v>0</x:v>
      </x:c>
      <x:c r="E13" t="n">
        <x:f>COUNTIFS(Tasks!$B$5:$B$70,A13,Tasks!$K$5:$K$70,"Ready")</x:f>
        <x:v>0</x:v>
      </x:c>
      <x:c r="F13" s="7" t="str">
        <x:v>Useful free-data / rules-only mode</x:v>
      </x:c>
      <x:c r="G13" s="7"/>
      <x:c r="H13" s="7"/>
    </x:row>
    <x:row r="14" ht="28" customHeight="1">
      <x:c r="A14" t="str">
        <x:v>W4</x:v>
      </x:c>
      <x:c r="B14" t="n">
        <x:f>COUNTIF(Tasks!$B$5:$B$70,A14)</x:f>
        <x:v>9</x:v>
      </x:c>
      <x:c r="C14" t="n">
        <x:f>COUNTIFS(Tasks!$B$5:$B$70,A14,Tasks!$E$5:$E$70,"Completed")</x:f>
        <x:v>0</x:v>
      </x:c>
      <x:c r="D14" s="30" t="n">
        <x:f>IF(B14=0,0,C14/B14)</x:f>
        <x:v>0</x:v>
      </x:c>
      <x:c r="E14" t="n">
        <x:f>COUNTIFS(Tasks!$B$5:$B$70,A14,Tasks!$K$5:$K$70,"Ready")</x:f>
        <x:v>0</x:v>
      </x:c>
      <x:c r="F14" s="7" t="str">
        <x:v>No live broker order submission</x:v>
      </x:c>
      <x:c r="G14" s="7"/>
      <x:c r="H14" s="7"/>
    </x:row>
    <x:row r="15" ht="28" customHeight="1">
      <x:c r="A15" t="str">
        <x:v>W5</x:v>
      </x:c>
      <x:c r="B15" t="n">
        <x:f>COUNTIF(Tasks!$B$5:$B$70,A15)</x:f>
        <x:v>10</x:v>
      </x:c>
      <x:c r="C15" t="n">
        <x:f>COUNTIFS(Tasks!$B$5:$B$70,A15,Tasks!$E$5:$E$70,"Completed")</x:f>
        <x:v>0</x:v>
      </x:c>
      <x:c r="D15" s="30" t="n">
        <x:f>IF(B15=0,0,C15/B15)</x:f>
        <x:v>0</x:v>
      </x:c>
      <x:c r="E15" t="n">
        <x:f>COUNTIFS(Tasks!$B$5:$B$70,A15,Tasks!$K$5:$K$70,"Ready")</x:f>
        <x:v>0</x:v>
      </x:c>
      <x:c r="F15" s="7" t="str">
        <x:v>Human release + user adoption</x:v>
      </x:c>
      <x:c r="G15" s="7"/>
      <x:c r="H15" s="7"/>
    </x:row>
    <x:row r="16" ht="28" customHeight="1">
      <x:c r="A16" t="str">
        <x:v>W6</x:v>
      </x:c>
      <x:c r="B16" t="n">
        <x:f>COUNTIF(Tasks!$B$5:$B$70,A16)</x:f>
        <x:v>7</x:v>
      </x:c>
      <x:c r="C16" t="n">
        <x:f>COUNTIFS(Tasks!$B$5:$B$70,A16,Tasks!$E$5:$E$70,"Completed")</x:f>
        <x:v>0</x:v>
      </x:c>
      <x:c r="D16" s="30" t="n">
        <x:f>IF(B16=0,0,C16/B16)</x:f>
        <x:v>0</x:v>
      </x:c>
      <x:c r="E16" t="n">
        <x:f>COUNTIFS(Tasks!$B$5:$B$70,A16,Tasks!$K$5:$K$70,"Ready")</x:f>
        <x:v>0</x:v>
      </x:c>
      <x:c r="F16" s="7" t="str">
        <x:v>Private learning by default</x:v>
      </x:c>
      <x:c r="G16" s="7"/>
      <x:c r="H16" s="7"/>
    </x:row>
    <x:row r="17" ht="28" customHeight="1">
      <x:c r="A17" t="str">
        <x:v>W7</x:v>
      </x:c>
      <x:c r="B17" t="n">
        <x:f>COUNTIF(Tasks!$B$5:$B$70,A17)</x:f>
        <x:v>7</x:v>
      </x:c>
      <x:c r="C17" t="n">
        <x:f>COUNTIFS(Tasks!$B$5:$B$70,A17,Tasks!$E$5:$E$70,"Completed")</x:f>
        <x:v>0</x:v>
      </x:c>
      <x:c r="D17" s="30" t="n">
        <x:f>IF(B17=0,0,C17/B17)</x:f>
        <x:v>0</x:v>
      </x:c>
      <x:c r="E17" t="n">
        <x:f>COUNTIFS(Tasks!$B$5:$B$70,A17,Tasks!$K$5:$K$70,"Ready")</x:f>
        <x:v>0</x:v>
      </x:c>
      <x:c r="F17" s="7" t="str">
        <x:v>USD100 pilot / USD20 improvement</x:v>
      </x:c>
      <x:c r="G17" s="7"/>
      <x:c r="H17" s="7"/>
    </x:row>
    <x:row r="19" ht="29" customHeight="1">
      <x:c r="A19" s="11" t="str">
        <x:v>START WITH T001 · inspect the actual repository and bind real check commands</x:v>
      </x:c>
      <x:c r="B19" s="11"/>
      <x:c r="C19" s="11"/>
      <x:c r="D19" s="11"/>
      <x:c r="E19" s="11"/>
      <x:c r="F19" s="11"/>
      <x:c r="G19" s="11"/>
      <x:c r="H19" s="11"/>
    </x:row>
    <x:row r="21" ht="21" customHeight="1">
      <x:c r="A21" s="7" t="str">
        <x:v>Update task status only with evidence. Dependency readiness is calculated; it is not permission to spend, connect accounts or deploy.</x:v>
      </x:c>
      <x:c r="B21" s="7"/>
      <x:c r="C21" s="7"/>
      <x:c r="D21" s="7"/>
      <x:c r="E21" s="7"/>
      <x:c r="F21" s="7"/>
      <x:c r="G21" s="7"/>
      <x:c r="H21" s="7"/>
    </x:row>
    <x:row r="22" ht="21" customHeight="1">
      <x:c r="A22" s="7"/>
      <x:c r="B22" s="7"/>
      <x:c r="C22" s="7"/>
      <x:c r="D22" s="7"/>
      <x:c r="E22" s="7"/>
      <x:c r="F22" s="7"/>
      <x:c r="G22" s="7"/>
      <x:c r="H22" s="7"/>
    </x:row>
    <x:row r="23" ht="21" customHeight="1">
      <x:c r="A23" s="7" t="str">
        <x:v>All waves are part of the same agreed first release. No deadline or low budget silently removes code-level or recursive improvement.</x:v>
      </x:c>
      <x:c r="B23" s="7"/>
      <x:c r="C23" s="7"/>
      <x:c r="D23" s="7"/>
      <x:c r="E23" s="7"/>
      <x:c r="F23" s="7"/>
      <x:c r="G23" s="7"/>
      <x:c r="H23" s="7"/>
    </x:row>
    <x:row r="24" ht="21" customHeight="1">
      <x:c r="A24" s="7"/>
      <x:c r="B24" s="7"/>
      <x:c r="C24" s="7"/>
      <x:c r="D24" s="7"/>
      <x:c r="E24" s="7"/>
      <x:c r="F24" s="7"/>
      <x:c r="G24" s="7"/>
      <x:c r="H24" s="7"/>
    </x:row>
    <x:row r="25" ht="21" customHeight="1">
      <x:c r="A25" s="7" t="str">
        <x:v>Provider/API permissions, CA/US legal review, real exports, strategy evidence, load, recovery and sandbox behavior remain unverified.</x:v>
      </x:c>
      <x:c r="B25" s="7"/>
      <x:c r="C25" s="7"/>
      <x:c r="D25" s="7"/>
      <x:c r="E25" s="7"/>
      <x:c r="F25" s="7"/>
      <x:c r="G25" s="7"/>
      <x:c r="H25" s="7"/>
    </x:row>
    <x:row r="26" ht="21" customHeight="1">
      <x:c r="A26" s="7"/>
      <x:c r="B26" s="7"/>
      <x:c r="C26" s="7"/>
      <x:c r="D26" s="7"/>
      <x:c r="E26" s="7"/>
      <x:c r="F26" s="7"/>
      <x:c r="G26" s="7"/>
      <x:c r="H26" s="7"/>
    </x:row>
    <x:row r="27" ht="21" customHeight="1">
      <x:c r="A27" s="7" t="str">
        <x:v>Canonical source: package Markdown + JSON/CSV contracts. This tracker is a working view; reconcile changes back through the task workflow.</x:v>
      </x:c>
      <x:c r="B27" s="7"/>
      <x:c r="C27" s="7"/>
      <x:c r="D27" s="7"/>
      <x:c r="E27" s="7"/>
      <x:c r="F27" s="7"/>
      <x:c r="G27" s="7"/>
      <x:c r="H27" s="7"/>
    </x:row>
    <x:row r="28" ht="21" customHeight="1">
      <x:c r="A28" s="7"/>
      <x:c r="B28" s="7"/>
      <x:c r="C28" s="7"/>
      <x:c r="D28" s="7"/>
      <x:c r="E28" s="7"/>
      <x:c r="F28" s="7"/>
      <x:c r="G28" s="7"/>
      <x:c r="H28" s="7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F9:H9"/>
    <x:mergeCell ref="F10:H10"/>
    <x:mergeCell ref="F11:H11"/>
    <x:mergeCell ref="F12:H12"/>
    <x:mergeCell ref="F13:H13"/>
    <x:mergeCell ref="F14:H14"/>
    <x:mergeCell ref="F15:H15"/>
    <x:mergeCell ref="F16:H16"/>
    <x:mergeCell ref="F17:H17"/>
    <x:mergeCell ref="A19:H19"/>
    <x:mergeCell ref="A21:H22"/>
    <x:mergeCell ref="A23:H24"/>
    <x:mergeCell ref="A25:H26"/>
    <x:mergeCell ref="A27:H28"/>
  </x:mergeCells>
  <x:conditionalFormatting sqref="D10:D17">
    <x:cfRule type="dataBar" priority="1">
      <x:dataBar>
        <x:cfvo type="min"/>
        <x:cfvo type="max"/>
        <x:color rgb="FF0E6F73"/>
      </x:dataBar>
      <x:extLst>
        <x:ext xmlns:x14="http://schemas.microsoft.com/office/spreadsheetml/2009/9/main" uri="{B025F937-C7B1-47D3-B67F-A62EFF666E3E}">
          <x14:id>{5272B63F-2C37-FA36-7ACF-74CB6114E45F}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272B63F-2C37-FA36-7ACF-74CB6114E45F}">
            <x14:dataBar gradient="0">
              <x14:cfvo type="min"/>
              <x14:cfvo type="max"/>
              <x14:fillColor rgb="FF0E6F73"/>
            </x14:dataBar>
          </x14:cfRule>
          <xm:sqref>D10:D17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8" hidden="0" customWidth="1"/>
    <x:col min="3" max="3" width="38" hidden="0" customWidth="1"/>
    <x:col min="4" max="4" width="23" hidden="0" customWidth="1"/>
    <x:col min="5" max="5" width="17" hidden="0" customWidth="1"/>
    <x:col min="6" max="6" width="12" hidden="0" customWidth="1"/>
    <x:col min="7" max="7" width="26" hidden="0" customWidth="1"/>
    <x:col min="8" max="8" width="29" hidden="0" customWidth="1"/>
    <x:col min="9" max="9" width="46" hidden="0" customWidth="1"/>
    <x:col min="10" max="10" width="46" hidden="0" customWidth="1"/>
    <x:col min="11" max="11" width="22" hidden="0" customWidth="1"/>
  </x:cols>
  <x:sheetData>
    <x:row r="1" ht="32" customHeight="1">
      <x:c r="A1" s="3" t="str">
        <x:v>IMPLEMENTATION WORK PACKAGES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Editable status/owner fields are working copies. Reconcile changes with canonical planning/backlog.csv; completion requires real evidence.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2" t="str">
        <x:v>Task</x:v>
      </x:c>
      <x:c r="B4" s="12" t="str">
        <x:v>Wave</x:v>
      </x:c>
      <x:c r="C4" s="12" t="str">
        <x:v>Work package</x:v>
      </x:c>
      <x:c r="D4" s="12" t="str">
        <x:v>Owner / role</x:v>
      </x:c>
      <x:c r="E4" s="12" t="str">
        <x:v>Status</x:v>
      </x:c>
      <x:c r="F4" s="12" t="str">
        <x:v>Relative size</x:v>
      </x:c>
      <x:c r="G4" s="12" t="str">
        <x:v>Prerequisites</x:v>
      </x:c>
      <x:c r="H4" s="12" t="str">
        <x:v>Requirements</x:v>
      </x:c>
      <x:c r="I4" s="12" t="str">
        <x:v>Deliverable</x:v>
      </x:c>
      <x:c r="J4" s="12" t="str">
        <x:v>Acceptance / evidence</x:v>
      </x:c>
      <x:c r="K4" s="12" t="str">
        <x:v>Dependency readiness</x:v>
      </x:c>
    </x:row>
    <x:row r="5" ht="78" customHeight="1">
      <x:c r="A5" s="17" t="str">
        <x:v>T001</x:v>
      </x:c>
      <x:c r="B5" s="17" t="str">
        <x:v>W0</x:v>
      </x:c>
      <x:c r="C5" s="17" t="str">
        <x:v>Repository inspection and check registry</x:v>
      </x:c>
      <x:c r="D5" s="17" t="str">
        <x:v>Lead engineer</x:v>
      </x:c>
      <x:c r="E5" s="20" t="str">
        <x:v>Not started</x:v>
      </x:c>
      <x:c r="F5" s="17" t="str">
        <x:v>M</x:v>
      </x:c>
      <x:c r="G5" s="17" t="str"/>
      <x:c r="H5" s="17" t="str">
        <x:v>R070,R078,R079,R080,R088,R094</x:v>
      </x:c>
      <x:c r="I5" s="17" t="str">
        <x:v>Record Git root, existing files, instructions, runtime/lockfiles and a reviewed local check registry; do not overwrite existing agent state.</x:v>
      </x:c>
      <x:c r="J5" s="17" t="str">
        <x:v>Bootstrap receipt distinguishes observed commands from proposed commands and no application test is fabricated.</x:v>
      </x:c>
      <x:c r="K5" s="22" t="str">
        <x:f>IF(E5="Completed","Complete",IF(TRUE,"Ready","Waiting"))</x:f>
        <x:v>Ready</x:v>
      </x:c>
    </x:row>
    <x:row r="6" ht="78" customHeight="1">
      <x:c r="A6" s="17" t="str">
        <x:v>T002</x:v>
      </x:c>
      <x:c r="B6" s="17" t="str">
        <x:v>W0</x:v>
      </x:c>
      <x:c r="C6" s="17" t="str">
        <x:v>Provider rights and deployment matrix</x:v>
      </x:c>
      <x:c r="D6" s="17" t="str">
        <x:v>Integration lead</x:v>
      </x:c>
      <x:c r="E6" s="20" t="str">
        <x:v>Not started</x:v>
      </x:c>
      <x:c r="F6" s="17" t="str">
        <x:v>M</x:v>
      </x:c>
      <x:c r="G6" s="17" t="str">
        <x:v>T001</x:v>
      </x:c>
      <x:c r="H6" s="17" t="str">
        <x:v>R011,R018,R021,R048,R053,R057,R073,R094,R095</x:v>
      </x:c>
      <x:c r="I6" s="17" t="str">
        <x:v>Create provider/deployment/use matrices and request required approvals outside the app; gather sanitized export samples.</x:v>
      </x:c>
      <x:c r="J6" s="17" t="str">
        <x:v>Every required connector has a permission/auth/field/load plan and unresolved gates stay open.</x:v>
      </x:c>
      <x:c r="K6" s="22" t="str">
        <x:f>IF(E6="Completed","Complete",IF(SUM(COUNTIFS($A$5:$A$70,"T001",$E$5:$E$70,"Completed"))=1,"Ready","Waiting"))</x:f>
        <x:v>Waiting</x:v>
      </x:c>
    </x:row>
    <x:row r="7" ht="78" customHeight="1">
      <x:c r="A7" s="17" t="str">
        <x:v>T003</x:v>
      </x:c>
      <x:c r="B7" s="17" t="str">
        <x:v>W0</x:v>
      </x:c>
      <x:c r="C7" s="17" t="str">
        <x:v>Canada and US commercial classification</x:v>
      </x:c>
      <x:c r="D7" s="17" t="str">
        <x:v>Qualified counsel + owner</x:v>
      </x:c>
      <x:c r="E7" s="20" t="str">
        <x:v>Not started</x:v>
      </x:c>
      <x:c r="F7" s="17" t="str">
        <x:v>M</x:v>
      </x:c>
      <x:c r="G7" s="17" t="str">
        <x:v>T001</x:v>
      </x:c>
      <x:c r="H7" s="17" t="str">
        <x:v>R007,R021,R055,R079,R094,R095</x:v>
      </x:c>
      <x:c r="I7" s="17" t="str">
        <x:v>Obtain product-specific advice, jurisdiction coverage, privacy/marketing/recordkeeping obligations and launch permissions.</x:v>
      </x:c>
      <x:c r="J7" s="17" t="str">
        <x:v>Signed reviewed capability/legal matrix; no disclaimer-only clearance.</x:v>
      </x:c>
      <x:c r="K7" s="22" t="str">
        <x:f>IF(E7="Completed","Complete",IF(SUM(COUNTIFS($A$5:$A$70,"T001",$E$5:$E$70,"Completed"))=1,"Ready","Waiting"))</x:f>
        <x:v>Waiting</x:v>
      </x:c>
    </x:row>
    <x:row r="8" ht="78" customHeight="1">
      <x:c r="A8" s="17" t="str">
        <x:v>T004</x:v>
      </x:c>
      <x:c r="B8" s="17" t="str">
        <x:v>W0</x:v>
      </x:c>
      <x:c r="C8" s="17" t="str">
        <x:v>Free-data capability experiment</x:v>
      </x:c>
      <x:c r="D8" s="17" t="str">
        <x:v>Data engineer</x:v>
      </x:c>
      <x:c r="E8" s="20" t="str">
        <x:v>Not started</x:v>
      </x:c>
      <x:c r="F8" s="17" t="str">
        <x:v>M</x:v>
      </x:c>
      <x:c r="G8" s="17" t="str">
        <x:v>T001</x:v>
      </x:c>
      <x:c r="H8" s="17" t="str">
        <x:v>R003,R004,R011,R014,R062,R066,R083,R091</x:v>
      </x:c>
      <x:c r="I8" s="17" t="str">
        <x:v>Qualify Alpaca/free historical/EOD inputs and SEC/FX supplementation under actual quotas and rights.</x:v>
      </x:c>
      <x:c r="J8" s="17" t="str">
        <x:v>Record observed latency, coverage, misses, normalization and end-to-end free candidate feasibility.</x:v>
      </x:c>
      <x:c r="K8" s="22" t="str">
        <x:f>IF(E8="Completed","Complete",IF(SUM(COUNTIFS($A$5:$A$70,"T001",$E$5:$E$70,"Completed"))=1,"Ready","Waiting"))</x:f>
        <x:v>Waiting</x:v>
      </x:c>
    </x:row>
    <x:row r="9" ht="78" customHeight="1">
      <x:c r="A9" s="17" t="str">
        <x:v>T005</x:v>
      </x:c>
      <x:c r="B9" s="17" t="str">
        <x:v>W0</x:v>
      </x:c>
      <x:c r="C9" s="17" t="str">
        <x:v>Named broker and export samples</x:v>
      </x:c>
      <x:c r="D9" s="17" t="str">
        <x:v>Integration lead</x:v>
      </x:c>
      <x:c r="E9" s="20" t="str">
        <x:v>Not started</x:v>
      </x:c>
      <x:c r="F9" s="17" t="str">
        <x:v>M</x:v>
      </x:c>
      <x:c r="G9" s="17" t="str">
        <x:v>T002</x:v>
      </x:c>
      <x:c r="H9" s="17" t="str">
        <x:v>R048,R053,R057,R058,R081</x:v>
      </x:c>
      <x:c r="I9" s="17" t="str">
        <x:v>Acquire authorized sample accounts/exports for CIBC, Questrade, IBKR, Wealthsimple and Yahoo; define adapter conformance tests.</x:v>
      </x:c>
      <x:c r="J9" s="17" t="str">
        <x:v>Account, holding, cash, transaction, reconnection and round-trip fixtures are provenance-labelled.</x:v>
      </x:c>
      <x:c r="K9" s="22" t="str">
        <x:f>IF(E9="Completed","Complete",IF(SUM(COUNTIFS($A$5:$A$70,"T002",$E$5:$E$70,"Completed"))=1,"Ready","Waiting"))</x:f>
        <x:v>Waiting</x:v>
      </x:c>
    </x:row>
    <x:row r="10" ht="78" customHeight="1">
      <x:c r="A10" s="17" t="str">
        <x:v>T006</x:v>
      </x:c>
      <x:c r="B10" s="17" t="str">
        <x:v>W0</x:v>
      </x:c>
      <x:c r="C10" s="17" t="str">
        <x:v>Model API and subscription feasibility</x:v>
      </x:c>
      <x:c r="D10" s="17" t="str">
        <x:v>AI engineer</x:v>
      </x:c>
      <x:c r="E10" s="20" t="str">
        <x:v>Not started</x:v>
      </x:c>
      <x:c r="F10" s="17" t="str">
        <x:v>M</x:v>
      </x:c>
      <x:c r="G10" s="17" t="str">
        <x:v>T002</x:v>
      </x:c>
      <x:c r="H10" s="17" t="str">
        <x:v>R018,R023,R025,R027,R074,R085,R095</x:v>
      </x:c>
      <x:c r="I10" s="17" t="str">
        <x:v>Qualify OpenAI/Anthropic/xAI APIs and permitted plan/native routes separately per deployment; verify provider financial-use terms.</x:v>
      </x:c>
      <x:c r="J10" s="17" t="str">
        <x:v>No intercepted session credentials; unsupported route remains blocked with exact reason.</x:v>
      </x:c>
      <x:c r="K10" s="22" t="str">
        <x:f>IF(E10="Completed","Complete",IF(SUM(COUNTIFS($A$5:$A$70,"T002",$E$5:$E$70,"Completed"))=1,"Ready","Waiting"))</x:f>
        <x:v>Waiting</x:v>
      </x:c>
    </x:row>
    <x:row r="11" ht="78" customHeight="1">
      <x:c r="A11" s="17" t="str">
        <x:v>T007</x:v>
      </x:c>
      <x:c r="B11" s="17" t="str">
        <x:v>W0</x:v>
      </x:c>
      <x:c r="C11" s="17" t="str">
        <x:v>Sandbox and hardware proof</x:v>
      </x:c>
      <x:c r="D11" s="17" t="str">
        <x:v>Security engineer</x:v>
      </x:c>
      <x:c r="E11" s="20" t="str">
        <x:v>Not started</x:v>
      </x:c>
      <x:c r="F11" s="17" t="str">
        <x:v>M</x:v>
      </x:c>
      <x:c r="G11" s="17" t="str">
        <x:v>T001</x:v>
      </x:c>
      <x:c r="H11" s="17" t="str">
        <x:v>R033,R036,R037,R038,R076,R086,R092,R096</x:v>
      </x:c>
      <x:c r="I11" s="17" t="str">
        <x:v>Prove bounded gVisor candidate execution on reference Linux and document host/VM compatibility.</x:v>
      </x:c>
      <x:c r="J11" s="17" t="str">
        <x:v>Isolation, egress, filesystem, CPU/memory/time limits and no-host-control tests pass or gate stays blocked.</x:v>
      </x:c>
      <x:c r="K11" s="22" t="str">
        <x:f>IF(E11="Completed","Complete",IF(SUM(COUNTIFS($A$5:$A$70,"T001",$E$5:$E$70,"Completed"))=1,"Ready","Waiting"))</x:f>
        <x:v>Waiting</x:v>
      </x:c>
    </x:row>
    <x:row r="12" ht="78" customHeight="1">
      <x:c r="A12" s="17" t="str">
        <x:v>T008</x:v>
      </x:c>
      <x:c r="B12" s="17" t="str">
        <x:v>W0</x:v>
      </x:c>
      <x:c r="C12" s="17" t="str">
        <x:v>Architecture and contracts review</x:v>
      </x:c>
      <x:c r="D12" s="17" t="str">
        <x:v>Lead + quant + security</x:v>
      </x:c>
      <x:c r="E12" s="20" t="str">
        <x:v>Not started</x:v>
      </x:c>
      <x:c r="F12" s="17" t="str">
        <x:v>M</x:v>
      </x:c>
      <x:c r="G12" s="17" t="str">
        <x:v>T001</x:v>
      </x:c>
      <x:c r="H12" s="17" t="str">
        <x:v>R065,R070,R071,R075,R078,R080,R081,R084,R086,R087,R088,R099</x:v>
      </x:c>
      <x:c r="I12" s="17" t="str">
        <x:v>Review domain boundaries, schemas, financial invariants, proposed tooling and protected control plane.</x:v>
      </x:c>
      <x:c r="J12" s="17" t="str">
        <x:v>ADR review and resolved contract assumptions; schema-valid does not mean finance-valid.</x:v>
      </x:c>
      <x:c r="K12" s="22" t="str">
        <x:f>IF(E12="Completed","Complete",IF(SUM(COUNTIFS($A$5:$A$70,"T001",$E$5:$E$70,"Completed"))=1,"Ready","Waiting"))</x:f>
        <x:v>Waiting</x:v>
      </x:c>
    </x:row>
    <x:row r="13" ht="78" customHeight="1">
      <x:c r="A13" s="17" t="str">
        <x:v>T009</x:v>
      </x:c>
      <x:c r="B13" s="17" t="str">
        <x:v>W1</x:v>
      </x:c>
      <x:c r="C13" s="17" t="str">
        <x:v>Repository scaffold and quality tools</x:v>
      </x:c>
      <x:c r="D13" s="17" t="str">
        <x:v>Platform engineer</x:v>
      </x:c>
      <x:c r="E13" s="20" t="str">
        <x:v>Not started</x:v>
      </x:c>
      <x:c r="F13" s="17" t="str">
        <x:v>M</x:v>
      </x:c>
      <x:c r="G13" s="17" t="str">
        <x:v>T008</x:v>
      </x:c>
      <x:c r="H13" s="17" t="str">
        <x:v>R006,R013,R022,R036,R070,R080,R088,R096,R097</x:v>
      </x:c>
      <x:c r="I13" s="17" t="str">
        <x:v>Create actual Python/React/PostgreSQL workspace, lock approved dependencies and install test/lint/type tools in authorized environment.</x:v>
      </x:c>
      <x:c r="J13" s="17" t="str">
        <x:v>Clean bootstrap/build/type/lint receipts and Apache-compatible inventory; core has no UI/provider import dependency.</x:v>
      </x:c>
      <x:c r="K13" s="22" t="str">
        <x:f>IF(E13="Completed","Complete",IF(SUM(COUNTIFS($A$5:$A$70,"T008",$E$5:$E$70,"Completed"))=1,"Ready","Waiting"))</x:f>
        <x:v>Waiting</x:v>
      </x:c>
    </x:row>
    <x:row r="14" ht="78" customHeight="1">
      <x:c r="A14" s="17" t="str">
        <x:v>T010</x:v>
      </x:c>
      <x:c r="B14" s="17" t="str">
        <x:v>W1</x:v>
      </x:c>
      <x:c r="C14" s="17" t="str">
        <x:v>Identity and tenant enforcement</x:v>
      </x:c>
      <x:c r="D14" s="17" t="str">
        <x:v>Backend + security</x:v>
      </x:c>
      <x:c r="E14" s="20" t="str">
        <x:v>Not started</x:v>
      </x:c>
      <x:c r="F14" s="17" t="str">
        <x:v>M</x:v>
      </x:c>
      <x:c r="G14" s="17" t="str">
        <x:v>T009</x:v>
      </x:c>
      <x:c r="H14" s="17" t="str">
        <x:v>R006,R031,R039,R075,R086,R087</x:v>
      </x:c>
      <x:c r="I14" s="17" t="str">
        <x:v>Implement sessions, membership, least-privilege roles, step-up auth and PostgreSQL tenant enforcement.</x:v>
      </x:c>
      <x:c r="J14" s="17" t="str">
        <x:v>Cross-tenant DB/API/job/storage tests and privileged-role separation pass.</x:v>
      </x:c>
      <x:c r="K14" s="22" t="str">
        <x:f>IF(E14="Completed","Complete",IF(SUM(COUNTIFS($A$5:$A$70,"T009",$E$5:$E$70,"Completed"))=1,"Ready","Waiting"))</x:f>
        <x:v>Waiting</x:v>
      </x:c>
    </x:row>
    <x:row r="15" ht="78" customHeight="1">
      <x:c r="A15" s="17" t="str">
        <x:v>T011</x:v>
      </x:c>
      <x:c r="B15" s="17" t="str">
        <x:v>W1</x:v>
      </x:c>
      <x:c r="C15" s="17" t="str">
        <x:v>Canonical securities and calendars</x:v>
      </x:c>
      <x:c r="D15" s="17" t="str">
        <x:v>Data engineer</x:v>
      </x:c>
      <x:c r="E15" s="20" t="str">
        <x:v>Not started</x:v>
      </x:c>
      <x:c r="F15" s="17" t="str">
        <x:v>M</x:v>
      </x:c>
      <x:c r="G15" s="17" t="str">
        <x:v>T009</x:v>
      </x:c>
      <x:c r="H15" s="17" t="str">
        <x:v>R004,R017,R050,R060,R066,R071,R080,R081,R083,R089,R091</x:v>
      </x:c>
      <x:c r="I15" s="17" t="str">
        <x:v>Implement security/listing/provider identifiers, option identity, corporate-action mapping and versioned exchange calendars.</x:v>
      </x:c>
      <x:c r="J15" s="17" t="str">
        <x:v>Ticker collision, rename, DST, half-day, halt and adjusted-contract tests.</x:v>
      </x:c>
      <x:c r="K15" s="22" t="str">
        <x:f>IF(E15="Completed","Complete",IF(SUM(COUNTIFS($A$5:$A$70,"T009",$E$5:$E$70,"Completed"))=1,"Ready","Waiting"))</x:f>
        <x:v>Waiting</x:v>
      </x:c>
    </x:row>
    <x:row r="16" ht="78" customHeight="1">
      <x:c r="A16" s="17" t="str">
        <x:v>T012</x:v>
      </x:c>
      <x:c r="B16" s="17" t="str">
        <x:v>W1</x:v>
      </x:c>
      <x:c r="C16" s="17" t="str">
        <x:v>Decimal journal and postings</x:v>
      </x:c>
      <x:c r="D16" s="17" t="str">
        <x:v>Backend + quant</x:v>
      </x:c>
      <x:c r="E16" s="20" t="str">
        <x:v>Not started</x:v>
      </x:c>
      <x:c r="F16" s="17" t="str">
        <x:v>M</x:v>
      </x:c>
      <x:c r="G16" s="17" t="str">
        <x:v>T009,T010,T011</x:v>
      </x:c>
      <x:c r="H16" s="17" t="str">
        <x:v>R043,R046,R058,R064,R071,R080,R081,R090,R098</x:v>
      </x:c>
      <x:c r="I16" s="17" t="str">
        <x:v>Implement immutable observations, balanced unit postings, financial journal, reversal/correction and materialized positions.</x:v>
      </x:c>
      <x:c r="J16" s="17" t="str">
        <x:v>Ledger idempotency, balance, cash, split, fee and correction property tests plus numeric fixtures.</x:v>
      </x:c>
      <x:c r="K16" s="22" t="str">
        <x:f>IF(E16="Completed","Complete",IF(SUM(COUNTIFS($A$5:$A$70,"T009",$E$5:$E$70,"Completed"),COUNTIFS($A$5:$A$70,"T010",$E$5:$E$70,"Completed"),COUNTIFS($A$5:$A$70,"T011",$E$5:$E$70,"Completed"))=3,"Ready","Waiting"))</x:f>
        <x:v>Waiting</x:v>
      </x:c>
    </x:row>
    <x:row r="17" ht="78" customHeight="1">
      <x:c r="A17" s="17" t="str">
        <x:v>T013</x:v>
      </x:c>
      <x:c r="B17" s="17" t="str">
        <x:v>W1</x:v>
      </x:c>
      <x:c r="C17" s="17" t="str">
        <x:v>Portfolio scopes and source mapping</x:v>
      </x:c>
      <x:c r="D17" s="17" t="str">
        <x:v>Backend engineer</x:v>
      </x:c>
      <x:c r="E17" s="20" t="str">
        <x:v>Not started</x:v>
      </x:c>
      <x:c r="F17" s="17" t="str">
        <x:v>M</x:v>
      </x:c>
      <x:c r="G17" s="17" t="str">
        <x:v>T012</x:v>
      </x:c>
      <x:c r="H17" s="17" t="str">
        <x:v>R010,R042,R043,R049,R058,R081,R082</x:v>
      </x:c>
      <x:c r="I17" s="17" t="str">
        <x:v>Implement account/currency/sleeve scopes and explicit mapping of sources to underlying accounts.</x:v>
      </x:c>
      <x:c r="J17" s="17" t="str">
        <x:v>Yahoo/broker overlap dedupes once; genuine multiple accounts remain distinct.</x:v>
      </x:c>
      <x:c r="K17" s="22" t="str">
        <x:f>IF(E17="Completed","Complete",IF(SUM(COUNTIFS($A$5:$A$70,"T012",$E$5:$E$70,"Completed"))=1,"Ready","Waiting"))</x:f>
        <x:v>Waiting</x:v>
      </x:c>
    </x:row>
    <x:row r="18" ht="78" customHeight="1">
      <x:c r="A18" s="17" t="str">
        <x:v>T014</x:v>
      </x:c>
      <x:c r="B18" s="17" t="str">
        <x:v>W1</x:v>
      </x:c>
      <x:c r="C18" s="17" t="str">
        <x:v>Canonical CSV import preview</x:v>
      </x:c>
      <x:c r="D18" s="17" t="str">
        <x:v>Backend + frontend</x:v>
      </x:c>
      <x:c r="E18" s="20" t="str">
        <x:v>Not started</x:v>
      </x:c>
      <x:c r="F18" s="17" t="str">
        <x:v>M</x:v>
      </x:c>
      <x:c r="G18" s="17" t="str">
        <x:v>T013</x:v>
      </x:c>
      <x:c r="H18" s="17" t="str">
        <x:v>R012,R042,R046,R048,R058,R081,R082,R083</x:v>
      </x:c>
      <x:c r="I18" s="17" t="str">
        <x:v>Implement strict parsing, column mapping, dedupe preview, unknown fields, transaction/snapshot distinction and commit revisions.</x:v>
      </x:c>
      <x:c r="J18" s="17" t="str">
        <x:v>Malformed/duplicate/mixed-currency/unknown-cost inputs rejected or quarantined with row reasons.</x:v>
      </x:c>
      <x:c r="K18" s="22" t="str">
        <x:f>IF(E18="Completed","Complete",IF(SUM(COUNTIFS($A$5:$A$70,"T013",$E$5:$E$70,"Completed"))=1,"Ready","Waiting"))</x:f>
        <x:v>Waiting</x:v>
      </x:c>
    </x:row>
    <x:row r="19" ht="78" customHeight="1">
      <x:c r="A19" s="17" t="str">
        <x:v>T015</x:v>
      </x:c>
      <x:c r="B19" s="17" t="str">
        <x:v>W1</x:v>
      </x:c>
      <x:c r="C19" s="17" t="str">
        <x:v>CIBC and Yahoo CSV adapters</x:v>
      </x:c>
      <x:c r="D19" s="17" t="str">
        <x:v>Integration engineer</x:v>
      </x:c>
      <x:c r="E19" s="20" t="str">
        <x:v>Not started</x:v>
      </x:c>
      <x:c r="F19" s="17" t="str">
        <x:v>M</x:v>
      </x:c>
      <x:c r="G19" s="17" t="str">
        <x:v>T005,T014</x:v>
      </x:c>
      <x:c r="H19" s="17" t="str">
        <x:v>R053,R057,R058,R081</x:v>
      </x:c>
      <x:c r="I19" s="17" t="str">
        <x:v>Implement real sample-backed CIBC import and Yahoo list/holdings CSV import/export with loss report.</x:v>
      </x:c>
      <x:c r="J19" s="17" t="str">
        <x:v>Actual format round trips verified; watchlists do not create positions and samples remain private.</x:v>
      </x:c>
      <x:c r="K19" s="22" t="str">
        <x:f>IF(E19="Completed","Complete",IF(SUM(COUNTIFS($A$5:$A$70,"T005",$E$5:$E$70,"Completed"),COUNTIFS($A$5:$A$70,"T014",$E$5:$E$70,"Completed"))=2,"Ready","Waiting"))</x:f>
        <x:v>Waiting</x:v>
      </x:c>
    </x:row>
    <x:row r="20" ht="78" customHeight="1">
      <x:c r="A20" s="17" t="str">
        <x:v>T016</x:v>
      </x:c>
      <x:c r="B20" s="17" t="str">
        <x:v>W1</x:v>
      </x:c>
      <x:c r="C20" s="17" t="str">
        <x:v>Read-only broker connectors</x:v>
      </x:c>
      <x:c r="D20" s="17" t="str">
        <x:v>Integration engineer</x:v>
      </x:c>
      <x:c r="E20" s="20" t="str">
        <x:v>Not started</x:v>
      </x:c>
      <x:c r="F20" s="17" t="str">
        <x:v>L</x:v>
      </x:c>
      <x:c r="G20" s="17" t="str">
        <x:v>T002,T005,T010,T013</x:v>
      </x:c>
      <x:c r="H20" s="17" t="str">
        <x:v>R012,R018,R048,R053,R073,R082,R083,R094,R095</x:v>
      </x:c>
      <x:c r="I20" s="17" t="str">
        <x:v>Implement Questrade, IBKR and Wealthsimple sync through approved direct/aggregated routes and secret references.</x:v>
      </x:c>
      <x:c r="J20" s="17" t="str">
        <x:v>Per-route approved auth, pagination, token rotation, reconnect, field/freshness and mutation-denial tests.</x:v>
      </x:c>
      <x:c r="K20" s="22" t="str">
        <x:f>IF(E20="Completed","Complete",IF(SUM(COUNTIFS($A$5:$A$70,"T002",$E$5:$E$70,"Completed"),COUNTIFS($A$5:$A$70,"T005",$E$5:$E$70,"Completed"),COUNTIFS($A$5:$A$70,"T010",$E$5:$E$70,"Completed"),COUNTIFS($A$5:$A$70,"T013",$E$5:$E$70,"Completed"))=4,"Ready","Waiting"))</x:f>
        <x:v>Waiting</x:v>
      </x:c>
    </x:row>
    <x:row r="21" ht="78" customHeight="1">
      <x:c r="A21" s="17" t="str">
        <x:v>T017</x:v>
      </x:c>
      <x:c r="B21" s="17" t="str">
        <x:v>W1</x:v>
      </x:c>
      <x:c r="C21" s="17" t="str">
        <x:v>Reconciliation and cash availability</x:v>
      </x:c>
      <x:c r="D21" s="17" t="str">
        <x:v>Backend + quant</x:v>
      </x:c>
      <x:c r="E21" s="20" t="str">
        <x:v>Not started</x:v>
      </x:c>
      <x:c r="F21" s="17" t="str">
        <x:v>M</x:v>
      </x:c>
      <x:c r="G21" s="17" t="str">
        <x:v>T014,T016</x:v>
      </x:c>
      <x:c r="H21" s="17" t="str">
        <x:v>R012,R043,R049,R058,R071,R080,R081,R082,R083</x:v>
      </x:c>
      <x:c r="I21" s="17" t="str">
        <x:v>Implement observation conflict handling, settled/unsettled/reported cash, open-order commitments and provenance.</x:v>
      </x:c>
      <x:c r="J21" s="17" t="str">
        <x:v>Newer user transactions not erased by stale broker snapshots; material conflict blocks sizing.</x:v>
      </x:c>
      <x:c r="K21" s="22" t="str">
        <x:f>IF(E21="Completed","Complete",IF(SUM(COUNTIFS($A$5:$A$70,"T014",$E$5:$E$70,"Completed"),COUNTIFS($A$5:$A$70,"T016",$E$5:$E$70,"Completed"))=2,"Ready","Waiting"))</x:f>
        <x:v>Waiting</x:v>
      </x:c>
    </x:row>
    <x:row r="22" ht="78" customHeight="1">
      <x:c r="A22" s="17" t="str">
        <x:v>T018</x:v>
      </x:c>
      <x:c r="B22" s="17" t="str">
        <x:v>W1</x:v>
      </x:c>
      <x:c r="C22" s="17" t="str">
        <x:v>Calculation and return engine</x:v>
      </x:c>
      <x:c r="D22" s="17" t="str">
        <x:v>Quant engineer</x:v>
      </x:c>
      <x:c r="E22" s="20" t="str">
        <x:v>Not started</x:v>
      </x:c>
      <x:c r="F22" s="17" t="str">
        <x:v>L</x:v>
      </x:c>
      <x:c r="G22" s="17" t="str">
        <x:v>T012,T017</x:v>
      </x:c>
      <x:c r="H22" s="17" t="str">
        <x:v>R043,R046,R064,R068,R071,R080,R081,R082,R090,R098</x:v>
      </x:c>
      <x:c r="I22" s="17" t="str">
        <x:v>Implement valuation, realized/unrealized P&amp;L, TWR, MWR, benchmark flows and FX attribution conventions.</x:v>
      </x:c>
      <x:c r="J22" s="17" t="str">
        <x:v>Independent numerical fixtures, multiple-IRR/no-equity/error cases and rounding tolerances.</x:v>
      </x:c>
      <x:c r="K22" s="22" t="str">
        <x:f>IF(E22="Completed","Complete",IF(SUM(COUNTIFS($A$5:$A$70,"T012",$E$5:$E$70,"Completed"),COUNTIFS($A$5:$A$70,"T017",$E$5:$E$70,"Completed"))=2,"Ready","Waiting"))</x:f>
        <x:v>Waiting</x:v>
      </x:c>
    </x:row>
    <x:row r="23" ht="78" customHeight="1">
      <x:c r="A23" s="17" t="str">
        <x:v>T019</x:v>
      </x:c>
      <x:c r="B23" s="17" t="str">
        <x:v>W2</x:v>
      </x:c>
      <x:c r="C23" s="17" t="str">
        <x:v>MCQ policy builder and consent</x:v>
      </x:c>
      <x:c r="D23" s="17" t="str">
        <x:v>Product + backend</x:v>
      </x:c>
      <x:c r="E23" s="20" t="str">
        <x:v>Not started</x:v>
      </x:c>
      <x:c r="F23" s="17" t="str">
        <x:v>M</x:v>
      </x:c>
      <x:c r="G23" s="17" t="str">
        <x:v>T010,T013</x:v>
      </x:c>
      <x:c r="H23" s="17" t="str">
        <x:v>R010,R016,R042,R044,R061,R068,R082</x:v>
      </x:c>
      <x:c r="I23" s="17" t="str">
        <x:v>Implement conditional MCQs/numeric fields, contradiction resolution, policy proposal/review and explicit adoption.</x:v>
      </x:c>
      <x:c r="J23" s="17" t="str">
        <x:v>No inferred risk authorization; amount/denominator/currency limits required for affected sizing.</x:v>
      </x:c>
      <x:c r="K23" s="22" t="str">
        <x:f>IF(E23="Completed","Complete",IF(SUM(COUNTIFS($A$5:$A$70,"T010",$E$5:$E$70,"Completed"),COUNTIFS($A$5:$A$70,"T013",$E$5:$E$70,"Completed"))=2,"Ready","Waiting"))</x:f>
        <x:v>Waiting</x:v>
      </x:c>
    </x:row>
    <x:row r="24" ht="78" customHeight="1">
      <x:c r="A24" s="17" t="str">
        <x:v>T020</x:v>
      </x:c>
      <x:c r="B24" s="17" t="str">
        <x:v>W2</x:v>
      </x:c>
      <x:c r="C24" s="17" t="str">
        <x:v>Policy/risk evaluator</x:v>
      </x:c>
      <x:c r="D24" s="17" t="str">
        <x:v>Quant + backend</x:v>
      </x:c>
      <x:c r="E24" s="20" t="str">
        <x:v>Not started</x:v>
      </x:c>
      <x:c r="F24" s="17" t="str">
        <x:v>M</x:v>
      </x:c>
      <x:c r="G24" s="17" t="str">
        <x:v>T017,T018,T019</x:v>
      </x:c>
      <x:c r="H24" s="17" t="str">
        <x:v>R010,R012,R026,R044,R049,R060,R068,R069,R082,R083,R086</x:v>
      </x:c>
      <x:c r="I24" s="17" t="str">
        <x:v>Implement eligibility, cash/concentration/planned-loss/stress constraints and scoped risk pauses/resumption.</x:v>
      </x:c>
      <x:c r="J24" s="17" t="str">
        <x:v>Portfolio-feasible alternatives, stop-gap scenarios, deposits/withdrawals and explicit resume tests.</x:v>
      </x:c>
      <x:c r="K24" s="22" t="str">
        <x:f>IF(E24="Completed","Complete",IF(SUM(COUNTIFS($A$5:$A$70,"T017",$E$5:$E$70,"Completed"),COUNTIFS($A$5:$A$70,"T018",$E$5:$E$70,"Completed"),COUNTIFS($A$5:$A$70,"T019",$E$5:$E$70,"Completed"))=3,"Ready","Waiting"))</x:f>
        <x:v>Waiting</x:v>
      </x:c>
    </x:row>
    <x:row r="25" ht="78" customHeight="1">
      <x:c r="A25" s="17" t="str">
        <x:v>T021</x:v>
      </x:c>
      <x:c r="B25" s="17" t="str">
        <x:v>W2</x:v>
      </x:c>
      <x:c r="C25" s="17" t="str">
        <x:v>Data and rights registry</x:v>
      </x:c>
      <x:c r="D25" s="17" t="str">
        <x:v>Data + legal liaison</x:v>
      </x:c>
      <x:c r="E25" s="20" t="str">
        <x:v>Not started</x:v>
      </x:c>
      <x:c r="F25" s="17" t="str">
        <x:v>M</x:v>
      </x:c>
      <x:c r="G25" s="17" t="str">
        <x:v>T004,T010,T011</x:v>
      </x:c>
      <x:c r="H25" s="17" t="str">
        <x:v>R003,R011,R014,R021,R066,R073,R083,R091,R094,R095</x:v>
      </x:c>
      <x:c r="I25" s="17" t="str">
        <x:v>Implement explicit provider/feed/rights/entitlement records, revisions, transition policies and no-cross-tenant pooling default.</x:v>
      </x:c>
      <x:c r="J25" s="17" t="str">
        <x:v>Unsupported display/model-processing/retention prevents affected use; connected is not qualified.</x:v>
      </x:c>
      <x:c r="K25" s="22" t="str">
        <x:f>IF(E25="Completed","Complete",IF(SUM(COUNTIFS($A$5:$A$70,"T004",$E$5:$E$70,"Completed"),COUNTIFS($A$5:$A$70,"T010",$E$5:$E$70,"Completed"),COUNTIFS($A$5:$A$70,"T011",$E$5:$E$70,"Completed"))=3,"Ready","Waiting"))</x:f>
        <x:v>Waiting</x:v>
      </x:c>
    </x:row>
    <x:row r="26" ht="78" customHeight="1">
      <x:c r="A26" s="17" t="str">
        <x:v>T022</x:v>
      </x:c>
      <x:c r="B26" s="17" t="str">
        <x:v>W2</x:v>
      </x:c>
      <x:c r="C26" s="17" t="str">
        <x:v>Live data and scheduled discovery</x:v>
      </x:c>
      <x:c r="D26" s="17" t="str">
        <x:v>Data engineer</x:v>
      </x:c>
      <x:c r="E26" s="20" t="str">
        <x:v>Not started</x:v>
      </x:c>
      <x:c r="F26" s="17" t="str">
        <x:v>M</x:v>
      </x:c>
      <x:c r="G26" s="17" t="str">
        <x:v>T011,T021</x:v>
      </x:c>
      <x:c r="H26" s="17" t="str">
        <x:v>R004,R008,R009,R014,R050,R054,R066,R067,R083,R091</x:v>
      </x:c>
      <x:c r="I26" s="17" t="str">
        <x:v>Implement prioritized streams, EOD/delayed history, coverage accounting, normalized bars and recovery.</x:v>
      </x:c>
      <x:c r="J26" s="17" t="str">
        <x:v>30-symbol planning obeys actual entitlements; missing coverage and retrospective recovery labelled.</x:v>
      </x:c>
      <x:c r="K26" s="22" t="str">
        <x:f>IF(E26="Completed","Complete",IF(SUM(COUNTIFS($A$5:$A$70,"T011",$E$5:$E$70,"Completed"),COUNTIFS($A$5:$A$70,"T021",$E$5:$E$70,"Completed"))=2,"Ready","Waiting"))</x:f>
        <x:v>Waiting</x:v>
      </x:c>
    </x:row>
    <x:row r="27" ht="78" customHeight="1">
      <x:c r="A27" s="17" t="str">
        <x:v>T023</x:v>
      </x:c>
      <x:c r="B27" s="17" t="str">
        <x:v>W2</x:v>
      </x:c>
      <x:c r="C27" s="17" t="str">
        <x:v>Filings fundamentals and FX ingestion</x:v>
      </x:c>
      <x:c r="D27" s="17" t="str">
        <x:v>Data engineer</x:v>
      </x:c>
      <x:c r="E27" s="20" t="str">
        <x:v>Not started</x:v>
      </x:c>
      <x:c r="F27" s="17" t="str">
        <x:v>M</x:v>
      </x:c>
      <x:c r="G27" s="17" t="str">
        <x:v>T021</x:v>
      </x:c>
      <x:c r="H27" s="17" t="str">
        <x:v>R004,R045,R059,R064,R071,R080,R081,R090,R098</x:v>
      </x:c>
      <x:c r="I27" s="17" t="str">
        <x:v>Implement SEC submissions/XBRL publication-aware normalized facts and reference FX ingestion.</x:v>
      </x:c>
      <x:c r="J27" s="17" t="str">
        <x:v>Units/restatements/currencies/publication-date and reference-not-executable FX tests.</x:v>
      </x:c>
      <x:c r="K27" s="22" t="str">
        <x:f>IF(E27="Completed","Complete",IF(SUM(COUNTIFS($A$5:$A$70,"T021",$E$5:$E$70,"Completed"))=1,"Ready","Waiting"))</x:f>
        <x:v>Waiting</x:v>
      </x:c>
    </x:row>
    <x:row r="28" ht="78" customHeight="1">
      <x:c r="A28" s="17" t="str">
        <x:v>T024</x:v>
      </x:c>
      <x:c r="B28" s="17" t="str">
        <x:v>W2</x:v>
      </x:c>
      <x:c r="C28" s="17" t="str">
        <x:v>Watchlists and monitoring rules</x:v>
      </x:c>
      <x:c r="D28" s="17" t="str">
        <x:v>Backend + frontend</x:v>
      </x:c>
      <x:c r="E28" s="20" t="str">
        <x:v>Not started</x:v>
      </x:c>
      <x:c r="F28" s="17" t="str">
        <x:v>M</x:v>
      </x:c>
      <x:c r="G28" s="17" t="str">
        <x:v>T013,T022</x:v>
      </x:c>
      <x:c r="H28" s="17" t="str">
        <x:v>R009,R014,R020,R047,R056,R057,R085,R093</x:v>
      </x:c>
      <x:c r="I28" s="17" t="str">
        <x:v>Implement watchlist CRUD, thesis/conditions/review date, custom deterministic events and priority allocation.</x:v>
      </x:c>
      <x:c r="J28" s="17" t="str">
        <x:v>Deletion doesn't alter holdings; dedupe/cooldown/snooze and stale-source tests.</x:v>
      </x:c>
      <x:c r="K28" s="22" t="str">
        <x:f>IF(E28="Completed","Complete",IF(SUM(COUNTIFS($A$5:$A$70,"T013",$E$5:$E$70,"Completed"),COUNTIFS($A$5:$A$70,"T022",$E$5:$E$70,"Completed"))=2,"Ready","Waiting"))</x:f>
        <x:v>Waiting</x:v>
      </x:c>
    </x:row>
    <x:row r="29" ht="78" customHeight="1">
      <x:c r="A29" s="17" t="str">
        <x:v>T025</x:v>
      </x:c>
      <x:c r="B29" s="17" t="str">
        <x:v>W2</x:v>
      </x:c>
      <x:c r="C29" s="17" t="str">
        <x:v>Durable jobs and outbox</x:v>
      </x:c>
      <x:c r="D29" s="17" t="str">
        <x:v>Platform engineer</x:v>
      </x:c>
      <x:c r="E29" s="20" t="str">
        <x:v>Not started</x:v>
      </x:c>
      <x:c r="F29" s="17" t="str">
        <x:v>M</x:v>
      </x:c>
      <x:c r="G29" s="17" t="str">
        <x:v>T009,T010</x:v>
      </x:c>
      <x:c r="H29" s="17" t="str">
        <x:v>R027,R032,R047,R054,R067,R070,R077,R080,R083,R088,R093</x:v>
      </x:c>
      <x:c r="I29" s="17" t="str">
        <x:v>Implement leases, retries/backoff, idempotent consumers, priorities, outbox/inbox and dead-letter handling.</x:v>
      </x:c>
      <x:c r="J29" s="17" t="str">
        <x:v>Crash-at-commit and duplicate delivery tests; no exactly-once marketing claim.</x:v>
      </x:c>
      <x:c r="K29" s="22" t="str">
        <x:f>IF(E29="Completed","Complete",IF(SUM(COUNTIFS($A$5:$A$70,"T009",$E$5:$E$70,"Completed"),COUNTIFS($A$5:$A$70,"T010",$E$5:$E$70,"Completed"))=2,"Ready","Waiting"))</x:f>
        <x:v>Waiting</x:v>
      </x:c>
    </x:row>
    <x:row r="30" ht="78" customHeight="1">
      <x:c r="A30" s="17" t="str">
        <x:v>T026</x:v>
      </x:c>
      <x:c r="B30" s="17" t="str">
        <x:v>W2</x:v>
      </x:c>
      <x:c r="C30" s="17" t="str">
        <x:v>Proposal lifecycle and atomic publication</x:v>
      </x:c>
      <x:c r="D30" s="17" t="str">
        <x:v>Backend + quant</x:v>
      </x:c>
      <x:c r="E30" s="20" t="str">
        <x:v>Not started</x:v>
      </x:c>
      <x:c r="F30" s="17" t="str">
        <x:v>M</x:v>
      </x:c>
      <x:c r="G30" s="17" t="str">
        <x:v>T020,T025</x:v>
      </x:c>
      <x:c r="H30" s="17" t="str">
        <x:v>R012,R020,R026,R049,R067,R069,R074,R082,R083,R085,R086</x:v>
      </x:c>
      <x:c r="I30" s="17" t="str">
        <x:v>Implement proposal versions, alternative sets, expiry/invalidation, final revision checks and atomic commitments.</x:v>
      </x:c>
      <x:c r="J30" s="17" t="str">
        <x:v>Concurrency test prevents two individually valid proposals overspending; late review cannot activate.</x:v>
      </x:c>
      <x:c r="K30" s="22" t="str">
        <x:f>IF(E30="Completed","Complete",IF(SUM(COUNTIFS($A$5:$A$70,"T020",$E$5:$E$70,"Completed"),COUNTIFS($A$5:$A$70,"T025",$E$5:$E$70,"Completed"))=2,"Ready","Waiting"))</x:f>
        <x:v>Waiting</x:v>
      </x:c>
    </x:row>
    <x:row r="31" ht="78" customHeight="1">
      <x:c r="A31" s="17" t="str">
        <x:v>T027</x:v>
      </x:c>
      <x:c r="B31" s="17" t="str">
        <x:v>W3</x:v>
      </x:c>
      <x:c r="C31" s="17" t="str">
        <x:v>Strategy registry and qualification states</x:v>
      </x:c>
      <x:c r="D31" s="17" t="str">
        <x:v>Quant + backend</x:v>
      </x:c>
      <x:c r="E31" s="20" t="str">
        <x:v>Not started</x:v>
      </x:c>
      <x:c r="F31" s="17" t="str">
        <x:v>L</x:v>
      </x:c>
      <x:c r="G31" s="17" t="str">
        <x:v>T020,T021,T026</x:v>
      </x:c>
      <x:c r="H31" s="17" t="str">
        <x:v>R024,R034,R059,R061,R065,R066,R072,R083,R084,R091,R099</x:v>
      </x:c>
      <x:c r="I31" s="17" t="str">
        <x:v>Implement manifests, bounded configuration, three qualification axes, family policies and user adoption.</x:v>
      </x:c>
      <x:c r="J31" s="17" t="str">
        <x:v>Research-only and actionable eligibility are distinct; materially changed strategies need adoption.</x:v>
      </x:c>
      <x:c r="K31" s="22" t="str">
        <x:f>IF(E31="Completed","Complete",IF(SUM(COUNTIFS($A$5:$A$70,"T020",$E$5:$E$70,"Completed"),COUNTIFS($A$5:$A$70,"T021",$E$5:$E$70,"Completed"),COUNTIFS($A$5:$A$70,"T026",$E$5:$E$70,"Completed"))=3,"Ready","Waiting"))</x:f>
        <x:v>Waiting</x:v>
      </x:c>
    </x:row>
    <x:row r="32" ht="78" customHeight="1">
      <x:c r="A32" s="17" t="str">
        <x:v>T028</x:v>
      </x:c>
      <x:c r="B32" s="17" t="str">
        <x:v>W3</x:v>
      </x:c>
      <x:c r="C32" s="17" t="str">
        <x:v>Allocation/rebalance reference</x:v>
      </x:c>
      <x:c r="D32" s="17" t="str">
        <x:v>Quant engineer</x:v>
      </x:c>
      <x:c r="E32" s="20" t="str">
        <x:v>Not started</x:v>
      </x:c>
      <x:c r="F32" s="17" t="str">
        <x:v>M</x:v>
      </x:c>
      <x:c r="G32" s="17" t="str">
        <x:v>T027,T018</x:v>
      </x:c>
      <x:c r="H32" s="17" t="str">
        <x:v>R010,R043,R049,R059,R062,R068,R072,R082</x:v>
      </x:c>
      <x:c r="I32" s="17" t="str">
        <x:v>Implement deterministic cash-first underweight allocation with explicit targets, costs and account feasibility.</x:v>
      </x:c>
      <x:c r="J32" s="17" t="str">
        <x:v>Free synthetic positive/abstention oracles and conflicting-cash cases pass.</x:v>
      </x:c>
      <x:c r="K32" s="22" t="str">
        <x:f>IF(E32="Completed","Complete",IF(SUM(COUNTIFS($A$5:$A$70,"T027",$E$5:$E$70,"Completed"),COUNTIFS($A$5:$A$70,"T018",$E$5:$E$70,"Completed"))=2,"Ready","Waiting"))</x:f>
        <x:v>Waiting</x:v>
      </x:c>
    </x:row>
    <x:row r="33" ht="78" customHeight="1">
      <x:c r="A33" s="17" t="str">
        <x:v>T029</x:v>
      </x:c>
      <x:c r="B33" s="17" t="str">
        <x:v>W3</x:v>
      </x:c>
      <x:c r="C33" s="17" t="str">
        <x:v>Quality/value and income references</x:v>
      </x:c>
      <x:c r="D33" s="17" t="str">
        <x:v>Quant engineer</x:v>
      </x:c>
      <x:c r="E33" s="20" t="str">
        <x:v>Not started</x:v>
      </x:c>
      <x:c r="F33" s="17" t="str">
        <x:v>M</x:v>
      </x:c>
      <x:c r="G33" s="17" t="str">
        <x:v>T023,T027</x:v>
      </x:c>
      <x:c r="H33" s="17" t="str">
        <x:v>R045,R059,R060,R065,R072,R084,R099</x:v>
      </x:c>
      <x:c r="I33" s="17" t="str">
        <x:v>Implement sector-aware factor policies and distribution sustainability analysis with known missingness.</x:v>
      </x:c>
      <x:c r="J33" s="17" t="str">
        <x:v>Negative earnings, incompatible sectors, stale filings and unsustainable headline yield cases handled.</x:v>
      </x:c>
      <x:c r="K33" s="22" t="str">
        <x:f>IF(E33="Completed","Complete",IF(SUM(COUNTIFS($A$5:$A$70,"T023",$E$5:$E$70,"Completed"),COUNTIFS($A$5:$A$70,"T027",$E$5:$E$70,"Completed"))=2,"Ready","Waiting"))</x:f>
        <x:v>Waiting</x:v>
      </x:c>
    </x:row>
    <x:row r="34" ht="78" customHeight="1">
      <x:c r="A34" s="17" t="str">
        <x:v>T030</x:v>
      </x:c>
      <x:c r="B34" s="17" t="str">
        <x:v>W3</x:v>
      </x:c>
      <x:c r="C34" s="17" t="str">
        <x:v>Swing/momentum reference</x:v>
      </x:c>
      <x:c r="D34" s="17" t="str">
        <x:v>Quant engineer</x:v>
      </x:c>
      <x:c r="E34" s="20" t="str">
        <x:v>Not started</x:v>
      </x:c>
      <x:c r="F34" s="17" t="str">
        <x:v>M</x:v>
      </x:c>
      <x:c r="G34" s="17" t="str">
        <x:v>T022,T027</x:v>
      </x:c>
      <x:c r="H34" s="17" t="str">
        <x:v>R008,R009,R059,R060,R062,R065,R072,R084,R099</x:v>
      </x:c>
      <x:c r="I34" s="17" t="str">
        <x:v>Implement 126-session momentum/200-session trend candidate, next-session timing, exit and sizing contract.</x:v>
      </x:c>
      <x:c r="J34" s="17" t="str">
        <x:v>No look-ahead, split adjustment mismatch, insufficient history or same-close fill advantage.</x:v>
      </x:c>
      <x:c r="K34" s="22" t="str">
        <x:f>IF(E34="Completed","Complete",IF(SUM(COUNTIFS($A$5:$A$70,"T022",$E$5:$E$70,"Completed"),COUNTIFS($A$5:$A$70,"T027",$E$5:$E$70,"Completed"))=2,"Ready","Waiting"))</x:f>
        <x:v>Waiting</x:v>
      </x:c>
    </x:row>
    <x:row r="35" ht="78" customHeight="1">
      <x:c r="A35" s="17" t="str">
        <x:v>T031</x:v>
      </x:c>
      <x:c r="B35" s="17" t="str">
        <x:v>W3</x:v>
      </x:c>
      <x:c r="C35" s="17" t="str">
        <x:v>Opening-range breakout reference</x:v>
      </x:c>
      <x:c r="D35" s="17" t="str">
        <x:v>Quant engineer</x:v>
      </x:c>
      <x:c r="E35" s="20" t="str">
        <x:v>Not started</x:v>
      </x:c>
      <x:c r="F35" s="17" t="str">
        <x:v>M</x:v>
      </x:c>
      <x:c r="G35" s="17" t="str">
        <x:v>T022,T027</x:v>
      </x:c>
      <x:c r="H35" s="17" t="str">
        <x:v>R008,R009,R050,R059,R065,R066,R067,R072,R083,R084,R091,R099</x:v>
      </x:c>
      <x:c r="I35" s="17" t="str">
        <x:v>Implement 15-minute range candidate, completion buffer, qualified feed and regular-session deadlines.</x:v>
      </x:c>
      <x:c r="J35" s="17" t="str">
        <x:v>Partial ranges, provider switches, halts, half-days and expired review block proposals.</x:v>
      </x:c>
      <x:c r="K35" s="22" t="str">
        <x:f>IF(E35="Completed","Complete",IF(SUM(COUNTIFS($A$5:$A$70,"T022",$E$5:$E$70,"Completed"),COUNTIFS($A$5:$A$70,"T027",$E$5:$E$70,"Completed"))=2,"Ready","Waiting"))</x:f>
        <x:v>Waiting</x:v>
      </x:c>
    </x:row>
    <x:row r="36" ht="78" customHeight="1">
      <x:c r="A36" s="17" t="str">
        <x:v>T032</x:v>
      </x:c>
      <x:c r="B36" s="17" t="str">
        <x:v>W3</x:v>
      </x:c>
      <x:c r="C36" s="17" t="str">
        <x:v>Research datasets and experiment ledger</x:v>
      </x:c>
      <x:c r="D36" s="17" t="str">
        <x:v>Research engineer</x:v>
      </x:c>
      <x:c r="E36" s="20" t="str">
        <x:v>Not started</x:v>
      </x:c>
      <x:c r="F36" s="17" t="str">
        <x:v>M</x:v>
      </x:c>
      <x:c r="G36" s="17" t="str">
        <x:v>T023,T027</x:v>
      </x:c>
      <x:c r="H36" s="17" t="str">
        <x:v>R024,R029,R040,R059,R065,R071,R080,R081,R084,R099</x:v>
      </x:c>
      <x:c r="I36" s="17" t="str">
        <x:v>Implement permitted PIT datasets, universe snapshots, full trial ledger and train/development/promotion access separation.</x:v>
      </x:c>
      <x:c r="J36" s="17" t="str">
        <x:v>Survivorship, future filings, revision leakage and repeated test access controls demonstrated.</x:v>
      </x:c>
      <x:c r="K36" s="22" t="str">
        <x:f>IF(E36="Completed","Complete",IF(SUM(COUNTIFS($A$5:$A$70,"T023",$E$5:$E$70,"Completed"),COUNTIFS($A$5:$A$70,"T027",$E$5:$E$70,"Completed"))=2,"Ready","Waiting"))</x:f>
        <x:v>Waiting</x:v>
      </x:c>
    </x:row>
    <x:row r="37" ht="78" customHeight="1">
      <x:c r="A37" s="17" t="str">
        <x:v>T033</x:v>
      </x:c>
      <x:c r="B37" s="17" t="str">
        <x:v>W3</x:v>
      </x:c>
      <x:c r="C37" s="17" t="str">
        <x:v>Backtest and prospective evaluation</x:v>
      </x:c>
      <x:c r="D37" s="17" t="str">
        <x:v>Quant researcher</x:v>
      </x:c>
      <x:c r="E37" s="20" t="str">
        <x:v>Not started</x:v>
      </x:c>
      <x:c r="F37" s="17" t="str">
        <x:v>M</x:v>
      </x:c>
      <x:c r="G37" s="17" t="str">
        <x:v>T028,T029,T030,T031,T032</x:v>
      </x:c>
      <x:c r="H37" s="17" t="str">
        <x:v>R024,R029,R040,R059,R062,R065,R084,R099</x:v>
      </x:c>
      <x:c r="I37" s="17" t="str">
        <x:v>Implement chronological cost-sensitive evaluation, dependence-aware statistics, frozen baselines and prospective shadow capture.</x:v>
      </x:c>
      <x:c r="J37" s="17" t="str">
        <x:v>Report unsuccessful trials, confidence intervals and limited evidence honestly; no universal edge badge.</x:v>
      </x:c>
      <x:c r="K37" s="22" t="str">
        <x:f>IF(E37="Completed","Complete",IF(SUM(COUNTIFS($A$5:$A$70,"T028",$E$5:$E$70,"Completed"),COUNTIFS($A$5:$A$70,"T029",$E$5:$E$70,"Completed"),COUNTIFS($A$5:$A$70,"T030",$E$5:$E$70,"Completed"),COUNTIFS($A$5:$A$70,"T031",$E$5:$E$70,"Completed"),COUNTIFS($A$5:$A$70,"T032",$E$5:$E$70,"Completed"))=5,"Ready","Waiting"))</x:f>
        <x:v>Waiting</x:v>
      </x:c>
    </x:row>
    <x:row r="38" ht="78" customHeight="1">
      <x:c r="A38" s="17" t="str">
        <x:v>T034</x:v>
      </x:c>
      <x:c r="B38" s="17" t="str">
        <x:v>W4</x:v>
      </x:c>
      <x:c r="C38" s="17" t="str">
        <x:v>Options identity and risk engine</x:v>
      </x:c>
      <x:c r="D38" s="17" t="str">
        <x:v>Options quant</x:v>
      </x:c>
      <x:c r="E38" s="20" t="str">
        <x:v>Not started</x:v>
      </x:c>
      <x:c r="F38" s="17" t="str">
        <x:v>L</x:v>
      </x:c>
      <x:c r="G38" s="17" t="str">
        <x:v>T011,T018,T020</x:v>
      </x:c>
      <x:c r="H38" s="17" t="str">
        <x:v>R017,R043,R044,R068,R082,R089</x:v>
      </x:c>
      <x:c r="I38" s="17" t="str">
        <x:v>Implement explicit deliverables/multipliers, Greeks/model assumptions, collateral and expiry/assignment event states.</x:v>
      </x:c>
      <x:c r="J38" s="17" t="str">
        <x:v>Standard and adjusted contract fixtures, spread legging and collateral release tests.</x:v>
      </x:c>
      <x:c r="K38" s="22" t="str">
        <x:f>IF(E38="Completed","Complete",IF(SUM(COUNTIFS($A$5:$A$70,"T011",$E$5:$E$70,"Completed"),COUNTIFS($A$5:$A$70,"T018",$E$5:$E$70,"Completed"),COUNTIFS($A$5:$A$70,"T020",$E$5:$E$70,"Completed"))=3,"Ready","Waiting"))</x:f>
        <x:v>Waiting</x:v>
      </x:c>
    </x:row>
    <x:row r="39" ht="78" customHeight="1">
      <x:c r="A39" s="17" t="str">
        <x:v>T035</x:v>
      </x:c>
      <x:c r="B39" s="17" t="str">
        <x:v>W4</x:v>
      </x:c>
      <x:c r="C39" s="17" t="str">
        <x:v>Options strategy catalogue</x:v>
      </x:c>
      <x:c r="D39" s="17" t="str">
        <x:v>Options quant</x:v>
      </x:c>
      <x:c r="E39" s="20" t="str">
        <x:v>Not started</x:v>
      </x:c>
      <x:c r="F39" s="17" t="str">
        <x:v>M</x:v>
      </x:c>
      <x:c r="G39" s="17" t="str">
        <x:v>T021,T027,T034</x:v>
      </x:c>
      <x:c r="H39" s="17" t="str">
        <x:v>R017,R059,R065,R084,R089,R099</x:v>
      </x:c>
      <x:c r="I39" s="17" t="str">
        <x:v>Implement long call/put, covered call, cash-secured put and four directional debit/credit vertical variants.</x:v>
      </x:c>
      <x:c r="J39" s="17" t="str">
        <x:v>Whole-package expiry payoffs and pre-expiry scenario risk checked; indicative feed blocks live trade pricing.</x:v>
      </x:c>
      <x:c r="K39" s="22" t="str">
        <x:f>IF(E39="Completed","Complete",IF(SUM(COUNTIFS($A$5:$A$70,"T021",$E$5:$E$70,"Completed"),COUNTIFS($A$5:$A$70,"T027",$E$5:$E$70,"Completed"),COUNTIFS($A$5:$A$70,"T034",$E$5:$E$70,"Completed"))=3,"Ready","Waiting"))</x:f>
        <x:v>Waiting</x:v>
      </x:c>
    </x:row>
    <x:row r="40" ht="78" customHeight="1">
      <x:c r="A40" s="17" t="str">
        <x:v>T036</x:v>
      </x:c>
      <x:c r="B40" s="17" t="str">
        <x:v>W4</x:v>
      </x:c>
      <x:c r="C40" s="17" t="str">
        <x:v>Evidence store and claim graph</x:v>
      </x:c>
      <x:c r="D40" s="17" t="str">
        <x:v>AI + data engineer</x:v>
      </x:c>
      <x:c r="E40" s="20" t="str">
        <x:v>Not started</x:v>
      </x:c>
      <x:c r="F40" s="17" t="str">
        <x:v>M</x:v>
      </x:c>
      <x:c r="G40" s="17" t="str">
        <x:v>T010,T023</x:v>
      </x:c>
      <x:c r="H40" s="17" t="str">
        <x:v>R019,R020,R024,R045,R052,R071,R080,R081,R084,R085,R087</x:v>
      </x:c>
      <x:c r="I40" s="17" t="str">
        <x:v>Implement source passages/rights, atomic claim support, citation IDs, revisions, contradiction and retention propagation.</x:v>
      </x:c>
      <x:c r="J40" s="17" t="str">
        <x:v>Bad citation, wrong entity/date/unit, syndicated-source duplication and withdrawn evidence cases.</x:v>
      </x:c>
      <x:c r="K40" s="22" t="str">
        <x:f>IF(E40="Completed","Complete",IF(SUM(COUNTIFS($A$5:$A$70,"T010",$E$5:$E$70,"Completed"),COUNTIFS($A$5:$A$70,"T023",$E$5:$E$70,"Completed"))=2,"Ready","Waiting"))</x:f>
        <x:v>Waiting</x:v>
      </x:c>
    </x:row>
    <x:row r="41" ht="78" customHeight="1">
      <x:c r="A41" s="17" t="str">
        <x:v>T037</x:v>
      </x:c>
      <x:c r="B41" s="17" t="str">
        <x:v>W4</x:v>
      </x:c>
      <x:c r="C41" s="17" t="str">
        <x:v>Model gateway and budget reservations</x:v>
      </x:c>
      <x:c r="D41" s="17" t="str">
        <x:v>AI engineer</x:v>
      </x:c>
      <x:c r="E41" s="20" t="str">
        <x:v>Not started</x:v>
      </x:c>
      <x:c r="F41" s="17" t="str">
        <x:v>M</x:v>
      </x:c>
      <x:c r="G41" s="17" t="str">
        <x:v>T006,T010,T025</x:v>
      </x:c>
      <x:c r="H41" s="17" t="str">
        <x:v>R018,R025,R027,R032,R035,R074,R085,R095</x:v>
      </x:c>
      <x:c r="I41" s="17" t="str">
        <x:v>Implement API/native adapters, secrets separation, request bounds, metering and explicit fallbacks.</x:v>
      </x:c>
      <x:c r="J41" s="17" t="str">
        <x:v>No authorization/financial-policy/limit bypass; concurrent USD100/USD20 reservations and timeout reconciliation.</x:v>
      </x:c>
      <x:c r="K41" s="22" t="str">
        <x:f>IF(E41="Completed","Complete",IF(SUM(COUNTIFS($A$5:$A$70,"T006",$E$5:$E$70,"Completed"),COUNTIFS($A$5:$A$70,"T010",$E$5:$E$70,"Completed"),COUNTIFS($A$5:$A$70,"T025",$E$5:$E$70,"Completed"))=3,"Ready","Waiting"))</x:f>
        <x:v>Waiting</x:v>
      </x:c>
    </x:row>
    <x:row r="42" ht="78" customHeight="1">
      <x:c r="A42" s="17" t="str">
        <x:v>T038</x:v>
      </x:c>
      <x:c r="B42" s="17" t="str">
        <x:v>W4</x:v>
      </x:c>
      <x:c r="C42" s="17" t="str">
        <x:v>AI researcher and tools</x:v>
      </x:c>
      <x:c r="D42" s="17" t="str">
        <x:v>AI engineer</x:v>
      </x:c>
      <x:c r="E42" s="20" t="str">
        <x:v>Not started</x:v>
      </x:c>
      <x:c r="F42" s="17" t="str">
        <x:v>M</x:v>
      </x:c>
      <x:c r="G42" s="17" t="str">
        <x:v>T027,T036,T037</x:v>
      </x:c>
      <x:c r="H42" s="17" t="str">
        <x:v>R015,R024,R045,R059,R074,R084,R085</x:v>
      </x:c>
      <x:c r="I42" s="17" t="str">
        <x:v>Implement independent research thesis generation via allowlisted read tools and structured output.</x:v>
      </x:c>
      <x:c r="J42" s="17" t="str">
        <x:v>AI-only thesis path plus unsupported-claim/injection/insufficient-input abstention controls.</x:v>
      </x:c>
      <x:c r="K42" s="22" t="str">
        <x:f>IF(E42="Completed","Complete",IF(SUM(COUNTIFS($A$5:$A$70,"T027",$E$5:$E$70,"Completed"),COUNTIFS($A$5:$A$70,"T036",$E$5:$E$70,"Completed"),COUNTIFS($A$5:$A$70,"T037",$E$5:$E$70,"Completed"))=3,"Ready","Waiting"))</x:f>
        <x:v>Waiting</x:v>
      </x:c>
    </x:row>
    <x:row r="43" ht="78" customHeight="1">
      <x:c r="A43" s="17" t="str">
        <x:v>T039</x:v>
      </x:c>
      <x:c r="B43" s="17" t="str">
        <x:v>W4</x:v>
      </x:c>
      <x:c r="C43" s="17" t="str">
        <x:v>Independent decision evaluator</x:v>
      </x:c>
      <x:c r="D43" s="17" t="str">
        <x:v>AI + quant engineer</x:v>
      </x:c>
      <x:c r="E43" s="20" t="str">
        <x:v>Not started</x:v>
      </x:c>
      <x:c r="F43" s="17" t="str">
        <x:v>M</x:v>
      </x:c>
      <x:c r="G43" s="17" t="str">
        <x:v>T026,T036,T037,T038</x:v>
      </x:c>
      <x:c r="H43" s="17" t="str">
        <x:v>R015,R019,R023,R025,R026,R065,R074,R084,R085,R086,R099</x:v>
      </x:c>
      <x:c r="I43" s="17" t="str">
        <x:v>Implement blind-first evidence review, alternatives, bounded revision and final validator handoff.</x:v>
      </x:c>
      <x:c r="J43" s="17" t="str">
        <x:v>Separate context receipts, material disagreements block, reviewer-added claims reverified.</x:v>
      </x:c>
      <x:c r="K43" s="22" t="str">
        <x:f>IF(E43="Completed","Complete",IF(SUM(COUNTIFS($A$5:$A$70,"T026",$E$5:$E$70,"Completed"),COUNTIFS($A$5:$A$70,"T036",$E$5:$E$70,"Completed"),COUNTIFS($A$5:$A$70,"T037",$E$5:$E$70,"Completed"),COUNTIFS($A$5:$A$70,"T038",$E$5:$E$70,"Completed"))=4,"Ready","Waiting"))</x:f>
        <x:v>Waiting</x:v>
      </x:c>
    </x:row>
    <x:row r="44" ht="78" customHeight="1">
      <x:c r="A44" s="17" t="str">
        <x:v>T040</x:v>
      </x:c>
      <x:c r="B44" s="17" t="str">
        <x:v>W4</x:v>
      </x:c>
      <x:c r="C44" s="17" t="str">
        <x:v>AI-mode rule routing and chat</x:v>
      </x:c>
      <x:c r="D44" s="17" t="str">
        <x:v>AI + frontend</x:v>
      </x:c>
      <x:c r="E44" s="20" t="str">
        <x:v>Not started</x:v>
      </x:c>
      <x:c r="F44" s="17" t="str">
        <x:v>M</x:v>
      </x:c>
      <x:c r="G44" s="17" t="str">
        <x:v>T028,T030,T031,T039</x:v>
      </x:c>
      <x:c r="H44" s="17" t="str">
        <x:v>R015,R019,R023,R056,R067,R074,R083,R085,R093</x:v>
      </x:c>
      <x:c r="I44" s="17" t="str">
        <x:v>Route rule-origin actions through evaluator in AI mode and chat through same proposal graph.</x:v>
      </x:c>
      <x:c r="J44" s="17" t="str">
        <x:v>No backdoor chat recommendation, no silent mode switch, timeout misses remain visible.</x:v>
      </x:c>
      <x:c r="K44" s="22" t="str">
        <x:f>IF(E44="Completed","Complete",IF(SUM(COUNTIFS($A$5:$A$70,"T028",$E$5:$E$70,"Completed"),COUNTIFS($A$5:$A$70,"T030",$E$5:$E$70,"Completed"),COUNTIFS($A$5:$A$70,"T031",$E$5:$E$70,"Completed"),COUNTIFS($A$5:$A$70,"T039",$E$5:$E$70,"Completed"))=4,"Ready","Waiting"))</x:f>
        <x:v>Waiting</x:v>
      </x:c>
    </x:row>
    <x:row r="45" ht="78" customHeight="1">
      <x:c r="A45" s="17" t="str">
        <x:v>T041</x:v>
      </x:c>
      <x:c r="B45" s="17" t="str">
        <x:v>W4</x:v>
      </x:c>
      <x:c r="C45" s="17" t="str">
        <x:v>Simulation and virtual portfolios</x:v>
      </x:c>
      <x:c r="D45" s="17" t="str">
        <x:v>Quant + backend</x:v>
      </x:c>
      <x:c r="E45" s="20" t="str">
        <x:v>Not started</x:v>
      </x:c>
      <x:c r="F45" s="17" t="str">
        <x:v>M</x:v>
      </x:c>
      <x:c r="G45" s="17" t="str">
        <x:v>T018,T026,T034,T035</x:v>
      </x:c>
      <x:c r="H45" s="17" t="str">
        <x:v>R017,R049,R063,R064,R082,R089,R090,R098</x:v>
      </x:c>
      <x:c r="I45" s="17" t="str">
        <x:v>Implement virtual capital, virtual order/fill policy, partial/no fills, slippage/fees and lifecycle events.</x:v>
      </x:c>
      <x:c r="J45" s="17" t="str">
        <x:v>Same-bar ambiguity, dividend/split/assignment, real/sim segregation and no broker calls.</x:v>
      </x:c>
      <x:c r="K45" s="22" t="str">
        <x:f>IF(E45="Completed","Complete",IF(SUM(COUNTIFS($A$5:$A$70,"T018",$E$5:$E$70,"Completed"),COUNTIFS($A$5:$A$70,"T026",$E$5:$E$70,"Completed"),COUNTIFS($A$5:$A$70,"T034",$E$5:$E$70,"Completed"),COUNTIFS($A$5:$A$70,"T035",$E$5:$E$70,"Completed"))=4,"Ready","Waiting"))</x:f>
        <x:v>Waiting</x:v>
      </x:c>
    </x:row>
    <x:row r="46" ht="78" customHeight="1">
      <x:c r="A46" s="17" t="str">
        <x:v>T042</x:v>
      </x:c>
      <x:c r="B46" s="17" t="str">
        <x:v>W4</x:v>
      </x:c>
      <x:c r="C46" s="17" t="str">
        <x:v>Benchmark and attribution workspace</x:v>
      </x:c>
      <x:c r="D46" s="17" t="str">
        <x:v>Quant + frontend</x:v>
      </x:c>
      <x:c r="E46" s="20" t="str">
        <x:v>Not started</x:v>
      </x:c>
      <x:c r="F46" s="17" t="str">
        <x:v>M</x:v>
      </x:c>
      <x:c r="G46" s="17" t="str">
        <x:v>T018,T033,T041</x:v>
      </x:c>
      <x:c r="H46" s="17" t="str">
        <x:v>R042,R043,R064,R065,R084,R090,R098,R099</x:v>
      </x:c>
      <x:c r="I46" s="17" t="str">
        <x:v>Implement preselected baseline versions and cash-flow-matched actual/sim scorecards.</x:v>
      </x:c>
      <x:c r="J46" s="17" t="str">
        <x:v>Deposits not returns; no reconstructed historical trades from holdings snapshots.</x:v>
      </x:c>
      <x:c r="K46" s="22" t="str">
        <x:f>IF(E46="Completed","Complete",IF(SUM(COUNTIFS($A$5:$A$70,"T018",$E$5:$E$70,"Completed"),COUNTIFS($A$5:$A$70,"T033",$E$5:$E$70,"Completed"),COUNTIFS($A$5:$A$70,"T041",$E$5:$E$70,"Completed"))=3,"Ready","Waiting"))</x:f>
        <x:v>Waiting</x:v>
      </x:c>
    </x:row>
    <x:row r="47" ht="78" customHeight="1">
      <x:c r="A47" s="17" t="str">
        <x:v>T043</x:v>
      </x:c>
      <x:c r="B47" s="17" t="str">
        <x:v>W5</x:v>
      </x:c>
      <x:c r="C47" s="17" t="str">
        <x:v>Feedback and improvement evidence</x:v>
      </x:c>
      <x:c r="D47" s="17" t="str">
        <x:v>AI + backend</x:v>
      </x:c>
      <x:c r="E47" s="20" t="str">
        <x:v>Not started</x:v>
      </x:c>
      <x:c r="F47" s="17" t="str">
        <x:v>M</x:v>
      </x:c>
      <x:c r="G47" s="17" t="str">
        <x:v>T036,T039,T041</x:v>
      </x:c>
      <x:c r="H47" s="17" t="str">
        <x:v>R028,R029,R031,R040,R052,R084,R087</x:v>
      </x:c>
      <x:c r="I47" s="17" t="str">
        <x:v>Capture errors, user feedback, private evaluation cases and permitted outcome categories.</x:v>
      </x:c>
      <x:c r="J47" s="17" t="str">
        <x:v>Dismissal not assumed losing trade; private feedback not global training consent.</x:v>
      </x:c>
      <x:c r="K47" s="22" t="str">
        <x:f>IF(E47="Completed","Complete",IF(SUM(COUNTIFS($A$5:$A$70,"T036",$E$5:$E$70,"Completed"),COUNTIFS($A$5:$A$70,"T039",$E$5:$E$70,"Completed"),COUNTIFS($A$5:$A$70,"T041",$E$5:$E$70,"Completed"))=3,"Ready","Waiting"))</x:f>
        <x:v>Waiting</x:v>
      </x:c>
    </x:row>
    <x:row r="48" ht="78" customHeight="1">
      <x:c r="A48" s="17" t="str">
        <x:v>T044</x:v>
      </x:c>
      <x:c r="B48" s="17" t="str">
        <x:v>W5</x:v>
      </x:c>
      <x:c r="C48" s="17" t="str">
        <x:v>Experiment orchestrator and assessor</x:v>
      </x:c>
      <x:c r="D48" s="17" t="str">
        <x:v>AI + platform</x:v>
      </x:c>
      <x:c r="E48" s="20" t="str">
        <x:v>Not started</x:v>
      </x:c>
      <x:c r="F48" s="17" t="str">
        <x:v>M</x:v>
      </x:c>
      <x:c r="G48" s="17" t="str">
        <x:v>T007,T032,T037,T043</x:v>
      </x:c>
      <x:c r="H48" s="17" t="str">
        <x:v>R028,R029,R030,R032,R033,R035,R037,R084,R092,R099</x:v>
      </x:c>
      <x:c r="I48" s="17" t="str">
        <x:v>Implement candidate lineage, task-specific scorecards, independent assessor and experiment budget scheduling.</x:v>
      </x:c>
      <x:c r="J48" s="17" t="str">
        <x:v>Candidates cannot change test access, risk constraints, acceptance thresholds or approval records.</x:v>
      </x:c>
      <x:c r="K48" s="22" t="str">
        <x:f>IF(E48="Completed","Complete",IF(SUM(COUNTIFS($A$5:$A$70,"T007",$E$5:$E$70,"Completed"),COUNTIFS($A$5:$A$70,"T032",$E$5:$E$70,"Completed"),COUNTIFS($A$5:$A$70,"T037",$E$5:$E$70,"Completed"),COUNTIFS($A$5:$A$70,"T043",$E$5:$E$70,"Completed"))=4,"Ready","Waiting"))</x:f>
        <x:v>Waiting</x:v>
      </x:c>
    </x:row>
    <x:row r="49" ht="78" customHeight="1">
      <x:c r="A49" s="17" t="str">
        <x:v>T045</x:v>
      </x:c>
      <x:c r="B49" s="17" t="str">
        <x:v>W5</x:v>
      </x:c>
      <x:c r="C49" s="17" t="str">
        <x:v>Personal adaptation improvement path</x:v>
      </x:c>
      <x:c r="D49" s="17" t="str">
        <x:v>AI engineer</x:v>
      </x:c>
      <x:c r="E49" s="20" t="str">
        <x:v>Not started</x:v>
      </x:c>
      <x:c r="F49" s="17" t="str">
        <x:v>L</x:v>
      </x:c>
      <x:c r="G49" s="17" t="str">
        <x:v>T044</x:v>
      </x:c>
      <x:c r="H49" s="17" t="str">
        <x:v>R028,R031,R033,R039,R040,R084</x:v>
      </x:c>
      <x:c r="I49" s="17" t="str">
        <x:v>Implement candidate changes to alert/explanation preference configuration with reversible private state.</x:v>
      </x:c>
      <x:c r="J49" s="17" t="str">
        <x:v>Helpful fixture improvement plus deliberate regression rejection; no widening investment policy.</x:v>
      </x:c>
      <x:c r="K49" s="22" t="str">
        <x:f>IF(E49="Completed","Complete",IF(SUM(COUNTIFS($A$5:$A$70,"T044",$E$5:$E$70,"Completed"))=1,"Ready","Waiting"))</x:f>
        <x:v>Waiting</x:v>
      </x:c>
    </x:row>
    <x:row r="50" ht="78" customHeight="1">
      <x:c r="A50" s="17" t="str">
        <x:v>T046</x:v>
      </x:c>
      <x:c r="B50" s="17" t="str">
        <x:v>W5</x:v>
      </x:c>
      <x:c r="C50" s="17" t="str">
        <x:v>Research/retrieval improvement path</x:v>
      </x:c>
      <x:c r="D50" s="17" t="str">
        <x:v>AI engineer</x:v>
      </x:c>
      <x:c r="E50" s="20" t="str">
        <x:v>Not started</x:v>
      </x:c>
      <x:c r="F50" s="17" t="str">
        <x:v>L</x:v>
      </x:c>
      <x:c r="G50" s="17" t="str">
        <x:v>T044,T036</x:v>
      </x:c>
      <x:c r="H50" s="17" t="str">
        <x:v>R028,R029,R033,R040,R084</x:v>
      </x:c>
      <x:c r="I50" s="17" t="str">
        <x:v>Implement extraction/query/prompt candidate generation and controlled evaluation/promotion.</x:v>
      </x:c>
      <x:c r="J50" s="17" t="str">
        <x:v>Publication-date fixture improves while a false fact/reference regression is rejected.</x:v>
      </x:c>
      <x:c r="K50" s="22" t="str">
        <x:f>IF(E50="Completed","Complete",IF(SUM(COUNTIFS($A$5:$A$70,"T044",$E$5:$E$70,"Completed"),COUNTIFS($A$5:$A$70,"T036",$E$5:$E$70,"Completed"))=2,"Ready","Waiting"))</x:f>
        <x:v>Waiting</x:v>
      </x:c>
    </x:row>
    <x:row r="51" ht="78" customHeight="1">
      <x:c r="A51" s="17" t="str">
        <x:v>T047</x:v>
      </x:c>
      <x:c r="B51" s="17" t="str">
        <x:v>W5</x:v>
      </x:c>
      <x:c r="C51" s="17" t="str">
        <x:v>Strategy/model improvement path</x:v>
      </x:c>
      <x:c r="D51" s="17" t="str">
        <x:v>Quant + AI</x:v>
      </x:c>
      <x:c r="E51" s="20" t="str">
        <x:v>Not started</x:v>
      </x:c>
      <x:c r="F51" s="17" t="str">
        <x:v>L</x:v>
      </x:c>
      <x:c r="G51" s="17" t="str">
        <x:v>T033,T044</x:v>
      </x:c>
      <x:c r="H51" s="17" t="str">
        <x:v>R028,R029,R033,R034,R059,R065,R084,R099</x:v>
      </x:c>
      <x:c r="I51" s="17" t="str">
        <x:v>Implement bounded strategy/ranking candidates, trial accounting, prospective review and adoption artifacts.</x:v>
      </x:c>
      <x:c r="J51" s="17" t="str">
        <x:v>Overfit higher-P&amp;L candidate with violations rejected; user adoption required for semantics.</x:v>
      </x:c>
      <x:c r="K51" s="22" t="str">
        <x:f>IF(E51="Completed","Complete",IF(SUM(COUNTIFS($A$5:$A$70,"T033",$E$5:$E$70,"Completed"),COUNTIFS($A$5:$A$70,"T044",$E$5:$E$70,"Completed"))=2,"Ready","Waiting"))</x:f>
        <x:v>Waiting</x:v>
      </x:c>
    </x:row>
    <x:row r="52" ht="78" customHeight="1">
      <x:c r="A52" s="17" t="str">
        <x:v>T048</x:v>
      </x:c>
      <x:c r="B52" s="17" t="str">
        <x:v>W5</x:v>
      </x:c>
      <x:c r="C52" s="17" t="str">
        <x:v>Evaluator improvement path</x:v>
      </x:c>
      <x:c r="D52" s="17" t="str">
        <x:v>AI engineer</x:v>
      </x:c>
      <x:c r="E52" s="20" t="str">
        <x:v>Not started</x:v>
      </x:c>
      <x:c r="F52" s="17" t="str">
        <x:v>L</x:v>
      </x:c>
      <x:c r="G52" s="17" t="str">
        <x:v>T039,T044</x:v>
      </x:c>
      <x:c r="H52" s="17" t="str">
        <x:v>R028,R029,R030,R033,R039,R084,R092,R099</x:v>
      </x:c>
      <x:c r="I52" s="17" t="str">
        <x:v>Implement candidate evaluator policies assessed by separate fixed evaluation control.</x:v>
      </x:c>
      <x:c r="J52" s="17" t="str">
        <x:v>False-approval/overrejection/latency/cost metrics and protected answer-key tamper rejection.</x:v>
      </x:c>
      <x:c r="K52" s="22" t="str">
        <x:f>IF(E52="Completed","Complete",IF(SUM(COUNTIFS($A$5:$A$70,"T039",$E$5:$E$70,"Completed"),COUNTIFS($A$5:$A$70,"T044",$E$5:$E$70,"Completed"))=2,"Ready","Waiting"))</x:f>
        <x:v>Waiting</x:v>
      </x:c>
    </x:row>
    <x:row r="53" ht="78" customHeight="1">
      <x:c r="A53" s="17" t="str">
        <x:v>T049</x:v>
      </x:c>
      <x:c r="B53" s="17" t="str">
        <x:v>W5</x:v>
      </x:c>
      <x:c r="C53" s="17" t="str">
        <x:v>Sandboxed code improvement path</x:v>
      </x:c>
      <x:c r="D53" s="17" t="str">
        <x:v>Security + AI engineer</x:v>
      </x:c>
      <x:c r="E53" s="20" t="str">
        <x:v>Not started</x:v>
      </x:c>
      <x:c r="F53" s="17" t="str">
        <x:v>L</x:v>
      </x:c>
      <x:c r="G53" s="17" t="str">
        <x:v>T007,T044</x:v>
      </x:c>
      <x:c r="H53" s="17" t="str">
        <x:v>R028,R030,R033,R038,R039,R076,R086,R092,R099</x:v>
      </x:c>
      <x:c r="I53" s="17" t="str">
        <x:v>Generate reviewed code patches in immutable sandbox inputs; test, package and route human release approval.</x:v>
      </x:c>
      <x:c r="J53" s="17" t="str">
        <x:v>No host/secret/prod writes; test-improving and malicious candidate negative controls.</x:v>
      </x:c>
      <x:c r="K53" s="22" t="str">
        <x:f>IF(E53="Completed","Complete",IF(SUM(COUNTIFS($A$5:$A$70,"T007",$E$5:$E$70,"Completed"),COUNTIFS($A$5:$A$70,"T044",$E$5:$E$70,"Completed"))=2,"Ready","Waiting"))</x:f>
        <x:v>Waiting</x:v>
      </x:c>
    </x:row>
    <x:row r="54" ht="78" customHeight="1">
      <x:c r="A54" s="17" t="str">
        <x:v>T050</x:v>
      </x:c>
      <x:c r="B54" s="17" t="str">
        <x:v>W5</x:v>
      </x:c>
      <x:c r="C54" s="17" t="str">
        <x:v>Recursive optimizer improvement path</x:v>
      </x:c>
      <x:c r="D54" s="17" t="str">
        <x:v>AI + verifier</x:v>
      </x:c>
      <x:c r="E54" s="20" t="str">
        <x:v>Not started</x:v>
      </x:c>
      <x:c r="F54" s="17" t="str">
        <x:v>L</x:v>
      </x:c>
      <x:c r="G54" s="17" t="str">
        <x:v>T044,T049</x:v>
      </x:c>
      <x:c r="H54" s="17" t="str">
        <x:v>R028,R030,R033,R037,R038,R076,R086,R092,R099</x:v>
      </x:c>
      <x:c r="I54" s="17" t="str">
        <x:v>Implement optimizer V0 to V1 self-change with independent assessment and actual V1 next-cycle execution.</x:v>
      </x:c>
      <x:c r="J54" s="17" t="str">
        <x:v>Version receipts and subsequent lineage prove recursion; no self-certification or relabelled repeated prompting.</x:v>
      </x:c>
      <x:c r="K54" s="22" t="str">
        <x:f>IF(E54="Completed","Complete",IF(SUM(COUNTIFS($A$5:$A$70,"T044",$E$5:$E$70,"Completed"),COUNTIFS($A$5:$A$70,"T049",$E$5:$E$70,"Completed"))=2,"Ready","Waiting"))</x:f>
        <x:v>Waiting</x:v>
      </x:c>
    </x:row>
    <x:row r="55" ht="78" customHeight="1">
      <x:c r="A55" s="17" t="str">
        <x:v>T051</x:v>
      </x:c>
      <x:c r="B55" s="17" t="str">
        <x:v>W5</x:v>
      </x:c>
      <x:c r="C55" s="17" t="str">
        <x:v>Release signing adoption and rollback</x:v>
      </x:c>
      <x:c r="D55" s="17" t="str">
        <x:v>Platform + security</x:v>
      </x:c>
      <x:c r="E55" s="20" t="str">
        <x:v>Not started</x:v>
      </x:c>
      <x:c r="F55" s="17" t="str">
        <x:v>M</x:v>
      </x:c>
      <x:c r="G55" s="17" t="str">
        <x:v>T027,T044</x:v>
      </x:c>
      <x:c r="H55" s="17" t="str">
        <x:v>R030,R034,R039,R051,R076,R087,R092,R096,R099</x:v>
      </x:c>
      <x:c r="I55" s="17" t="str">
        <x:v>Implement candidate-to-release signing, operator install, user strategy adoption and compatible rollback.</x:v>
      </x:c>
      <x:c r="J55" s="17" t="str">
        <x:v>Maintainer signature not user adoption; unsupported rollback pauses without rewriting records.</x:v>
      </x:c>
      <x:c r="K55" s="22" t="str">
        <x:f>IF(E55="Completed","Complete",IF(SUM(COUNTIFS($A$5:$A$70,"T027",$E$5:$E$70,"Completed"),COUNTIFS($A$5:$A$70,"T044",$E$5:$E$70,"Completed"))=2,"Ready","Waiting"))</x:f>
        <x:v>Waiting</x:v>
      </x:c>
    </x:row>
    <x:row r="56" ht="78" customHeight="1">
      <x:c r="A56" s="17" t="str">
        <x:v>T052</x:v>
      </x:c>
      <x:c r="B56" s="17" t="str">
        <x:v>W5</x:v>
      </x:c>
      <x:c r="C56" s="17" t="str">
        <x:v>Private learning export/delete controls</x:v>
      </x:c>
      <x:c r="D56" s="17" t="str">
        <x:v>Privacy + backend</x:v>
      </x:c>
      <x:c r="E56" s="20" t="str">
        <x:v>Not started</x:v>
      </x:c>
      <x:c r="F56" s="17" t="str">
        <x:v>M</x:v>
      </x:c>
      <x:c r="G56" s="17" t="str">
        <x:v>T043,T045,T051</x:v>
      </x:c>
      <x:c r="H56" s="17" t="str">
        <x:v>R031,R039,R051,R052,R087,R096</x:v>
      </x:c>
      <x:c r="I56" s="17" t="str">
        <x:v>Implement learned-state classification, consent revocation, data lineage invalidation and safe export/import.</x:v>
      </x:c>
      <x:c r="J56" s="17" t="str">
        <x:v>No executable activation/credential export; deleted evidence no longer marked reproducible.</x:v>
      </x:c>
      <x:c r="K56" s="22" t="str">
        <x:f>IF(E56="Completed","Complete",IF(SUM(COUNTIFS($A$5:$A$70,"T043",$E$5:$E$70,"Completed"),COUNTIFS($A$5:$A$70,"T045",$E$5:$E$70,"Completed"),COUNTIFS($A$5:$A$70,"T051",$E$5:$E$70,"Completed"))=3,"Ready","Waiting"))</x:f>
        <x:v>Waiting</x:v>
      </x:c>
    </x:row>
    <x:row r="57" ht="78" customHeight="1">
      <x:c r="A57" s="17" t="str">
        <x:v>T053</x:v>
      </x:c>
      <x:c r="B57" s="17" t="str">
        <x:v>W6</x:v>
      </x:c>
      <x:c r="C57" s="17" t="str">
        <x:v>Dashboard and policy/reconciliation UI</x:v>
      </x:c>
      <x:c r="D57" s="17" t="str">
        <x:v>Frontend engineer</x:v>
      </x:c>
      <x:c r="E57" s="20" t="str">
        <x:v>Not started</x:v>
      </x:c>
      <x:c r="F57" s="17" t="str">
        <x:v>M</x:v>
      </x:c>
      <x:c r="G57" s="17" t="str">
        <x:v>T019,T024,T026</x:v>
      </x:c>
      <x:c r="H57" s="17" t="str">
        <x:v>R002,R016,R042,R043,R047,R056,R068,R082,R093</x:v>
      </x:c>
      <x:c r="I57" s="17" t="str">
        <x:v>Build account/portfolio/decision views with scope/freshness/qualification and accessible numerical controls.</x:v>
      </x:c>
      <x:c r="J57" s="17" t="str">
        <x:v>Keyboard-only essential journeys and contradictory/stale/pending states visible.</x:v>
      </x:c>
      <x:c r="K57" s="22" t="str">
        <x:f>IF(E57="Completed","Complete",IF(SUM(COUNTIFS($A$5:$A$70,"T019",$E$5:$E$70,"Completed"),COUNTIFS($A$5:$A$70,"T024",$E$5:$E$70,"Completed"),COUNTIFS($A$5:$A$70,"T026",$E$5:$E$70,"Completed"))=3,"Ready","Waiting"))</x:f>
        <x:v>Waiting</x:v>
      </x:c>
    </x:row>
    <x:row r="58" ht="78" customHeight="1">
      <x:c r="A58" s="17" t="str">
        <x:v>T054</x:v>
      </x:c>
      <x:c r="B58" s="17" t="str">
        <x:v>W6</x:v>
      </x:c>
      <x:c r="C58" s="17" t="str">
        <x:v>Research/options/simulation UI</x:v>
      </x:c>
      <x:c r="D58" s="17" t="str">
        <x:v>Frontend engineer</x:v>
      </x:c>
      <x:c r="E58" s="20" t="str">
        <x:v>Not started</x:v>
      </x:c>
      <x:c r="F58" s="17" t="str">
        <x:v>M</x:v>
      </x:c>
      <x:c r="G58" s="17" t="str">
        <x:v>T035,T040,T041,T042</x:v>
      </x:c>
      <x:c r="H58" s="17" t="str">
        <x:v>R017,R019,R020,R056,R063,R064,R065,R084,R085,R089,R090,R093,R098,R099</x:v>
      </x:c>
      <x:c r="I58" s="17" t="str">
        <x:v>Build evidence drilldown, options scenarios, virtual mode and differentiated scorecards.</x:v>
      </x:c>
      <x:c r="J58" s="17" t="str">
        <x:v>No uncertainty hidden behind color or model confidence; sim labels persist across navigation.</x:v>
      </x:c>
      <x:c r="K58" s="22" t="str">
        <x:f>IF(E58="Completed","Complete",IF(SUM(COUNTIFS($A$5:$A$70,"T035",$E$5:$E$70,"Completed"),COUNTIFS($A$5:$A$70,"T040",$E$5:$E$70,"Completed"),COUNTIFS($A$5:$A$70,"T041",$E$5:$E$70,"Completed"),COUNTIFS($A$5:$A$70,"T042",$E$5:$E$70,"Completed"))=4,"Ready","Waiting"))</x:f>
        <x:v>Waiting</x:v>
      </x:c>
    </x:row>
    <x:row r="59" ht="78" customHeight="1">
      <x:c r="A59" s="17" t="str">
        <x:v>T055</x:v>
      </x:c>
      <x:c r="B59" s="17" t="str">
        <x:v>W6</x:v>
      </x:c>
      <x:c r="C59" s="17" t="str">
        <x:v>Improvement and governance UI</x:v>
      </x:c>
      <x:c r="D59" s="17" t="str">
        <x:v>Frontend engineer</x:v>
      </x:c>
      <x:c r="E59" s="20" t="str">
        <x:v>Not started</x:v>
      </x:c>
      <x:c r="F59" s="17" t="str">
        <x:v>M</x:v>
      </x:c>
      <x:c r="G59" s="17" t="str">
        <x:v>T045,T046,T047,T048,T049,T050,T051</x:v>
      </x:c>
      <x:c r="H59" s="17" t="str">
        <x:v>R028,R030,R033,R034,R037,R056,R092,R093,R099</x:v>
      </x:c>
      <x:c r="I59" s="17" t="str">
        <x:v>Build all six improvement dashboards with scorecards, approval separation and lineage/rollback controls.</x:v>
      </x:c>
      <x:c r="J59" s="17" t="str">
        <x:v>Full recursive demonstration inspectable; forbidden roles cannot promote.</x:v>
      </x:c>
      <x:c r="K59" s="22" t="str">
        <x:f>IF(E59="Completed","Complete",IF(SUM(COUNTIFS($A$5:$A$70,"T045",$E$5:$E$70,"Completed"),COUNTIFS($A$5:$A$70,"T046",$E$5:$E$70,"Completed"),COUNTIFS($A$5:$A$70,"T047",$E$5:$E$70,"Completed"),COUNTIFS($A$5:$A$70,"T048",$E$5:$E$70,"Completed"),COUNTIFS($A$5:$A$70,"T049",$E$5:$E$70,"Completed"),COUNTIFS($A$5:$A$70,"T050",$E$5:$E$70,"Completed"),COUNTIFS($A$5:$A$70,"T051",$E$5:$E$70,"Completed"))=7,"Ready","Waiting"))</x:f>
        <x:v>Waiting</x:v>
      </x:c>
    </x:row>
    <x:row r="60" ht="78" customHeight="1">
      <x:c r="A60" s="17" t="str">
        <x:v>T056</x:v>
      </x:c>
      <x:c r="B60" s="17" t="str">
        <x:v>W6</x:v>
      </x:c>
      <x:c r="C60" s="17" t="str">
        <x:v>Notifications and current-state resolution</x:v>
      </x:c>
      <x:c r="D60" s="17" t="str">
        <x:v>Backend + frontend</x:v>
      </x:c>
      <x:c r="E60" s="20" t="str">
        <x:v>Not started</x:v>
      </x:c>
      <x:c r="F60" s="17" t="str">
        <x:v>M</x:v>
      </x:c>
      <x:c r="G60" s="17" t="str">
        <x:v>T024,T025,T026</x:v>
      </x:c>
      <x:c r="H60" s="17" t="str">
        <x:v>R020,R047,R067,R069,R083,R085,R093</x:v>
      </x:c>
      <x:c r="I60" s="17" t="str">
        <x:v>Implement in-app feed, email/provider-neutral SMTP, browser push qualification, preferences and dedupe.</x:v>
      </x:c>
      <x:c r="J60" s="17" t="str">
        <x:v>Financial details minimal; late notification opens expired state; sending is not read receipt.</x:v>
      </x:c>
      <x:c r="K60" s="22" t="str">
        <x:f>IF(E60="Completed","Complete",IF(SUM(COUNTIFS($A$5:$A$70,"T024",$E$5:$E$70,"Completed"),COUNTIFS($A$5:$A$70,"T025",$E$5:$E$70,"Completed"),COUNTIFS($A$5:$A$70,"T026",$E$5:$E$70,"Completed"))=3,"Ready","Waiting"))</x:f>
        <x:v>Waiting</x:v>
      </x:c>
    </x:row>
    <x:row r="61" ht="78" customHeight="1">
      <x:c r="A61" s="17" t="str">
        <x:v>T057</x:v>
      </x:c>
      <x:c r="B61" s="17" t="str">
        <x:v>W6</x:v>
      </x:c>
      <x:c r="C61" s="17" t="str">
        <x:v>Hosted/self-hosted portability</x:v>
      </x:c>
      <x:c r="D61" s="17" t="str">
        <x:v>Platform + backend</x:v>
      </x:c>
      <x:c r="E61" s="20" t="str">
        <x:v>Not started</x:v>
      </x:c>
      <x:c r="F61" s="17" t="str">
        <x:v>M</x:v>
      </x:c>
      <x:c r="G61" s="17" t="str">
        <x:v>T015,T017,T052,T055</x:v>
      </x:c>
      <x:c r="H61" s="17" t="str">
        <x:v>R006,R013,R036,R051,R052,R087,R096,R097</x:v>
      </x:c>
      <x:c r="I61" s="17" t="str">
        <x:v>Implement manifest export/import, compatible state migration and reconnect procedure.</x:v>
      </x:c>
      <x:c r="J61" s="17" t="str">
        <x:v>Round-trip preserves compatible state and reports omitted licensed evidence; zip traversal/secret tests.</x:v>
      </x:c>
      <x:c r="K61" s="22" t="str">
        <x:f>IF(E61="Completed","Complete",IF(SUM(COUNTIFS($A$5:$A$70,"T015",$E$5:$E$70,"Completed"),COUNTIFS($A$5:$A$70,"T017",$E$5:$E$70,"Completed"),COUNTIFS($A$5:$A$70,"T052",$E$5:$E$70,"Completed"),COUNTIFS($A$5:$A$70,"T055",$E$5:$E$70,"Completed"))=4,"Ready","Waiting"))</x:f>
        <x:v>Waiting</x:v>
      </x:c>
    </x:row>
    <x:row r="62" ht="78" customHeight="1">
      <x:c r="A62" s="17" t="str">
        <x:v>T058</x:v>
      </x:c>
      <x:c r="B62" s="17" t="str">
        <x:v>W6</x:v>
      </x:c>
      <x:c r="C62" s="17" t="str">
        <x:v>Privacy retention and recovery tombstones</x:v>
      </x:c>
      <x:c r="D62" s="17" t="str">
        <x:v>Privacy + platform</x:v>
      </x:c>
      <x:c r="E62" s="20" t="str">
        <x:v>Not started</x:v>
      </x:c>
      <x:c r="F62" s="17" t="str">
        <x:v>M</x:v>
      </x:c>
      <x:c r="G62" s="17" t="str">
        <x:v>T052,T057</x:v>
      </x:c>
      <x:c r="H62" s="17" t="str">
        <x:v>R031,R052,R075,R077,R086,R087,R088</x:v>
      </x:c>
      <x:c r="I62" s="17" t="str">
        <x:v>Implement retention classes, deletion jobs, legal holds, backup expiry and restore-time tombstone application.</x:v>
      </x:c>
      <x:c r="J62" s="17" t="str">
        <x:v>Deletion/reproducibility UX and no reappearance after restoring old backup.</x:v>
      </x:c>
      <x:c r="K62" s="22" t="str">
        <x:f>IF(E62="Completed","Complete",IF(SUM(COUNTIFS($A$5:$A$70,"T052",$E$5:$E$70,"Completed"),COUNTIFS($A$5:$A$70,"T057",$E$5:$E$70,"Completed"))=2,"Ready","Waiting"))</x:f>
        <x:v>Waiting</x:v>
      </x:c>
    </x:row>
    <x:row r="63" ht="78" customHeight="1">
      <x:c r="A63" s="17" t="str">
        <x:v>T059</x:v>
      </x:c>
      <x:c r="B63" s="17" t="str">
        <x:v>W6</x:v>
      </x:c>
      <x:c r="C63" s="17" t="str">
        <x:v>Hosted service and billing boundary</x:v>
      </x:c>
      <x:c r="D63" s="17" t="str">
        <x:v>Platform + product</x:v>
      </x:c>
      <x:c r="E63" s="20" t="str">
        <x:v>Not started</x:v>
      </x:c>
      <x:c r="F63" s="17" t="str">
        <x:v>M</x:v>
      </x:c>
      <x:c r="G63" s="17" t="str">
        <x:v>T003,T010,T053</x:v>
      </x:c>
      <x:c r="H63" s="17" t="str">
        <x:v>R001,R006,R007,R055,R075,R086,R087,R097</x:v>
      </x:c>
      <x:c r="I63" s="17" t="str">
        <x:v>Implement managed-service entitlement separate from financial ranking, provider billing and application independence.</x:v>
      </x:c>
      <x:c r="J63" s="17" t="str">
        <x:v>Cancel/export flows; hosted billing cannot grant broker privileges or corrupt objective rankings.</x:v>
      </x:c>
      <x:c r="K63" s="22" t="str">
        <x:f>IF(E63="Completed","Complete",IF(SUM(COUNTIFS($A$5:$A$70,"T003",$E$5:$E$70,"Completed"),COUNTIFS($A$5:$A$70,"T010",$E$5:$E$70,"Completed"),COUNTIFS($A$5:$A$70,"T053",$E$5:$E$70,"Completed"))=3,"Ready","Waiting"))</x:f>
        <x:v>Waiting</x:v>
      </x:c>
    </x:row>
    <x:row r="64" ht="78" customHeight="1">
      <x:c r="A64" s="17" t="str">
        <x:v>T060</x:v>
      </x:c>
      <x:c r="B64" s="17" t="str">
        <x:v>W7</x:v>
      </x:c>
      <x:c r="C64" s="17" t="str">
        <x:v>Container profiles and operations</x:v>
      </x:c>
      <x:c r="D64" s="17" t="str">
        <x:v>Platform engineer</x:v>
      </x:c>
      <x:c r="E64" s="20" t="str">
        <x:v>Not started</x:v>
      </x:c>
      <x:c r="F64" s="17" t="str">
        <x:v>M</x:v>
      </x:c>
      <x:c r="G64" s="17" t="str">
        <x:v>T009,T007,T051,T057</x:v>
      </x:c>
      <x:c r="H64" s="17" t="str">
        <x:v>R006,R013,R036,R054,R076,R077,R088,R092,R096,R097</x:v>
      </x:c>
      <x:c r="I64" s="17" t="str">
        <x:v>Package supported local/hosted profiles with health, secrets, backups, resource quotas and upgrade docs.</x:v>
      </x:c>
      <x:c r="J64" s="17" t="str">
        <x:v>No vendor call required for self-hosting; full sandbox profile actually qualified.</x:v>
      </x:c>
      <x:c r="K64" s="22" t="str">
        <x:f>IF(E64="Completed","Complete",IF(SUM(COUNTIFS($A$5:$A$70,"T009",$E$5:$E$70,"Completed"),COUNTIFS($A$5:$A$70,"T007",$E$5:$E$70,"Completed"),COUNTIFS($A$5:$A$70,"T051",$E$5:$E$70,"Completed"),COUNTIFS($A$5:$A$70,"T057",$E$5:$E$70,"Completed"))=4,"Ready","Waiting"))</x:f>
        <x:v>Waiting</x:v>
      </x:c>
    </x:row>
    <x:row r="65" ht="78" customHeight="1">
      <x:c r="A65" s="17" t="str">
        <x:v>T061</x:v>
      </x:c>
      <x:c r="B65" s="17" t="str">
        <x:v>W7</x:v>
      </x:c>
      <x:c r="C65" s="17" t="str">
        <x:v>Load latency and quota qualification</x:v>
      </x:c>
      <x:c r="D65" s="17" t="str">
        <x:v>Performance engineer</x:v>
      </x:c>
      <x:c r="E65" s="20" t="str">
        <x:v>Not started</x:v>
      </x:c>
      <x:c r="F65" s="17" t="str">
        <x:v>L</x:v>
      </x:c>
      <x:c r="G65" s="17" t="str">
        <x:v>T022,T025,T040,T050,T056,T060</x:v>
      </x:c>
      <x:c r="H65" s="17" t="str">
        <x:v>R014,R027,R032,R035,R054,R067,R077,R083,R088</x:v>
      </x:c>
      <x:c r="I65" s="17" t="str">
        <x:v>Exercise 100 monitored users/20 sessions, imports, simulations and bounded experiments with actual timing instrumentation.</x:v>
      </x:c>
      <x:c r="J65" s="17" t="str">
        <x:v>5s/15s/60s metrics include misses; account freshness and provider quota are separately recorded.</x:v>
      </x:c>
      <x:c r="K65" s="22" t="str">
        <x:f>IF(E65="Completed","Complete",IF(SUM(COUNTIFS($A$5:$A$70,"T022",$E$5:$E$70,"Completed"),COUNTIFS($A$5:$A$70,"T025",$E$5:$E$70,"Completed"),COUNTIFS($A$5:$A$70,"T040",$E$5:$E$70,"Completed"),COUNTIFS($A$5:$A$70,"T050",$E$5:$E$70,"Completed"),COUNTIFS($A$5:$A$70,"T056",$E$5:$E$70,"Completed"),COUNTIFS($A$5:$A$70,"T060",$E$5:$E$70,"Completed"))=6,"Ready","Waiting"))</x:f>
        <x:v>Waiting</x:v>
      </x:c>
    </x:row>
    <x:row r="66" ht="78" customHeight="1">
      <x:c r="A66" s="17" t="str">
        <x:v>T062</x:v>
      </x:c>
      <x:c r="B66" s="17" t="str">
        <x:v>W7</x:v>
      </x:c>
      <x:c r="C66" s="17" t="str">
        <x:v>Security and supply-chain assessment</x:v>
      </x:c>
      <x:c r="D66" s="17" t="str">
        <x:v>Security reviewer</x:v>
      </x:c>
      <x:c r="E66" s="20" t="str">
        <x:v>Not started</x:v>
      </x:c>
      <x:c r="F66" s="17" t="str">
        <x:v>M</x:v>
      </x:c>
      <x:c r="G66" s="17" t="str">
        <x:v>T016,T037,T049,T050,T058,T060</x:v>
      </x:c>
      <x:c r="H66" s="17" t="str">
        <x:v>R005,R018,R021,R038,R051,R052,R075,R076,R086,R087,R092,R094,R095,R096</x:v>
      </x:c>
      <x:c r="I66" s="17" t="str">
        <x:v>Run cross-tenant, SSRF, CSV/archive injection, dependency, credential, sandbox and signing tests.</x:v>
      </x:c>
      <x:c r="J66" s="17" t="str">
        <x:v>Critical control failures block release; reports contain reproducible evidence and no exposed secrets.</x:v>
      </x:c>
      <x:c r="K66" s="22" t="str">
        <x:f>IF(E66="Completed","Complete",IF(SUM(COUNTIFS($A$5:$A$70,"T016",$E$5:$E$70,"Completed"),COUNTIFS($A$5:$A$70,"T037",$E$5:$E$70,"Completed"),COUNTIFS($A$5:$A$70,"T049",$E$5:$E$70,"Completed"),COUNTIFS($A$5:$A$70,"T050",$E$5:$E$70,"Completed"),COUNTIFS($A$5:$A$70,"T058",$E$5:$E$70,"Completed"),COUNTIFS($A$5:$A$70,"T060",$E$5:$E$70,"Completed"))=6,"Ready","Waiting"))</x:f>
        <x:v>Waiting</x:v>
      </x:c>
    </x:row>
    <x:row r="67" ht="78" customHeight="1">
      <x:c r="A67" s="17" t="str">
        <x:v>T063</x:v>
      </x:c>
      <x:c r="B67" s="17" t="str">
        <x:v>W7</x:v>
      </x:c>
      <x:c r="C67" s="17" t="str">
        <x:v>Backup restore and incident drills</x:v>
      </x:c>
      <x:c r="D67" s="17" t="str">
        <x:v>Operations engineer</x:v>
      </x:c>
      <x:c r="E67" s="20" t="str">
        <x:v>Not started</x:v>
      </x:c>
      <x:c r="F67" s="17" t="str">
        <x:v>M</x:v>
      </x:c>
      <x:c r="G67" s="17" t="str">
        <x:v>T058,T060</x:v>
      </x:c>
      <x:c r="H67" s="17" t="str">
        <x:v>R020,R052,R069,R077,R085,R087,R088</x:v>
      </x:c>
      <x:c r="I67" s="17" t="str">
        <x:v>Run restore, provider outage, wrong-price correction, credential revocation and worker-crash drills.</x:v>
      </x:c>
      <x:c r="J67" s="17" t="str">
        <x:v>Measured RPO/RTO, tombstones and affected proposal invalidation with visible service impact.</x:v>
      </x:c>
      <x:c r="K67" s="22" t="str">
        <x:f>IF(E67="Completed","Complete",IF(SUM(COUNTIFS($A$5:$A$70,"T058",$E$5:$E$70,"Completed"),COUNTIFS($A$5:$A$70,"T060",$E$5:$E$70,"Completed"))=2,"Ready","Waiting"))</x:f>
        <x:v>Waiting</x:v>
      </x:c>
    </x:row>
    <x:row r="68" ht="78" customHeight="1">
      <x:c r="A68" s="17" t="str">
        <x:v>T064</x:v>
      </x:c>
      <x:c r="B68" s="17" t="str">
        <x:v>W7</x:v>
      </x:c>
      <x:c r="C68" s="17" t="str">
        <x:v>Free baseline and full-scope E2E qualification</x:v>
      </x:c>
      <x:c r="D68" s="17" t="str">
        <x:v>Independent verifier</x:v>
      </x:c>
      <x:c r="E68" s="20" t="str">
        <x:v>Not started</x:v>
      </x:c>
      <x:c r="F68" s="17" t="str">
        <x:v>L</x:v>
      </x:c>
      <x:c r="G68" s="17" t="str">
        <x:v>T015,T016,T033,T035,T040,T041,T042,T050,T055,T057,T061,T062,T063</x:v>
      </x:c>
      <x:c r="H68" s="17" t="str">
        <x:v>R003,R006,R008,R017,R018,R033,R037,R053,R059,R062,R063,R064,R065,R078,R084,R089,R090,R092,R095,R098,R099</x:v>
      </x:c>
      <x:c r="I68" s="17" t="str">
        <x:v>Execute all release journeys on supported deployments and permitted live/provider/synthetic evidence categories.</x:v>
      </x:c>
      <x:c r="J68" s="17" t="str">
        <x:v>No mandatory family/connector/recursive path silently disabled; specific free floor and qualified paid intraday/options configuration pass.</x:v>
      </x:c>
      <x:c r="K68" s="22" t="str">
        <x:f>IF(E68="Completed","Complete",IF(SUM(COUNTIFS($A$5:$A$70,"T015",$E$5:$E$70,"Completed"),COUNTIFS($A$5:$A$70,"T016",$E$5:$E$70,"Completed"),COUNTIFS($A$5:$A$70,"T033",$E$5:$E$70,"Completed"),COUNTIFS($A$5:$A$70,"T035",$E$5:$E$70,"Completed"),COUNTIFS($A$5:$A$70,"T040",$E$5:$E$70,"Completed"),COUNTIFS($A$5:$A$70,"T041",$E$5:$E$70,"Completed"),COUNTIFS($A$5:$A$70,"T042",$E$5:$E$70,"Completed"),COUNTIFS($A$5:$A$70,"T050",$E$5:$E$70,"Completed"),COUNTIFS($A$5:$A$70,"T055",$E$5:$E$70,"Completed"),COUNTIFS($A$5:$A$70,"T057",$E$5:$E$70,"Completed"),COUNTIFS($A$5:$A$70,"T061",$E$5:$E$70,"Completed"),COUNTIFS($A$5:$A$70,"T062",$E$5:$E$70,"Completed"),COUNTIFS($A$5:$A$70,"T063",$E$5:$E$70,"Completed"))=13,"Ready","Waiting"))</x:f>
        <x:v>Waiting</x:v>
      </x:c>
    </x:row>
    <x:row r="69" ht="78" customHeight="1">
      <x:c r="A69" s="17" t="str">
        <x:v>T065</x:v>
      </x:c>
      <x:c r="B69" s="17" t="str">
        <x:v>W7</x:v>
      </x:c>
      <x:c r="C69" s="17" t="str">
        <x:v>Commercial and open-source release review</x:v>
      </x:c>
      <x:c r="D69" s="17" t="str">
        <x:v>Owner + legal + security</x:v>
      </x:c>
      <x:c r="E69" s="20" t="str">
        <x:v>Not started</x:v>
      </x:c>
      <x:c r="F69" s="17" t="str">
        <x:v>M</x:v>
      </x:c>
      <x:c r="G69" s="17" t="str">
        <x:v>T002,T003,T059,T064</x:v>
      </x:c>
      <x:c r="H69" s="17" t="str">
        <x:v>R001,R007,R021,R022,R041,R055,R079,R094,R095,R097</x:v>
      </x:c>
      <x:c r="I69" s="17" t="str">
        <x:v>Review permissions, legal coverage, notices, claims, contributors, support/economics and all gate receipts.</x:v>
      </x:c>
      <x:c r="J69" s="17" t="str">
        <x:v>No docs-only or simulated evidence labelled commercial-ready/live profitable; unresolved mandatory gates block.</x:v>
      </x:c>
      <x:c r="K69" s="22" t="str">
        <x:f>IF(E69="Completed","Complete",IF(SUM(COUNTIFS($A$5:$A$70,"T002",$E$5:$E$70,"Completed"),COUNTIFS($A$5:$A$70,"T003",$E$5:$E$70,"Completed"),COUNTIFS($A$5:$A$70,"T059",$E$5:$E$70,"Completed"),COUNTIFS($A$5:$A$70,"T064",$E$5:$E$70,"Completed"))=4,"Ready","Waiting"))</x:f>
        <x:v>Waiting</x:v>
      </x:c>
    </x:row>
    <x:row r="70" ht="78" customHeight="1">
      <x:c r="A70" s="17" t="str">
        <x:v>T066</x:v>
      </x:c>
      <x:c r="B70" s="17" t="str">
        <x:v>W7</x:v>
      </x:c>
      <x:c r="C70" s="17" t="str">
        <x:v>Final agent handoff and operator guides</x:v>
      </x:c>
      <x:c r="D70" s="17" t="str">
        <x:v>Technical writer + lead</x:v>
      </x:c>
      <x:c r="E70" s="20" t="str">
        <x:v>Not started</x:v>
      </x:c>
      <x:c r="F70" s="17" t="str">
        <x:v>M</x:v>
      </x:c>
      <x:c r="G70" s="17" t="str">
        <x:v>T064,T065</x:v>
      </x:c>
      <x:c r="H70" s="17" t="str">
        <x:v>R013,R036,R041,R051,R056,R079,R087,R093,R094,R096,R097</x:v>
      </x:c>
      <x:c r="I70" s="17" t="str">
        <x:v>Publish exact install/check/recovery commands from executed environments, architecture map and known limitations.</x:v>
      </x:c>
      <x:c r="J70" s="17" t="str">
        <x:v>Instructions reproduce on clean supported host; no fictional command, unresolved required placeholder or fabricated test pass.</x:v>
      </x:c>
      <x:c r="K70" s="22" t="str">
        <x:f>IF(E70="Completed","Complete",IF(SUM(COUNTIFS($A$5:$A$70,"T064",$E$5:$E$70,"Completed"),COUNTIFS($A$5:$A$70,"T065",$E$5:$E$70,"Completed"))=2,"Ready","Waiting"))</x:f>
        <x:v>Waiting</x:v>
      </x:c>
    </x:row>
  </x:sheetData>
  <x:mergeCells>
    <x:mergeCell ref="A1:K1"/>
    <x:mergeCell ref="A2:K2"/>
  </x:mergeCells>
  <x:conditionalFormatting sqref="E5:E70">
    <x:cfRule type="expression" dxfId="0" priority="1">
      <x:formula>E5="Completed"</x:formula>
    </x:cfRule>
    <x:cfRule type="expression" dxfId="1" priority="2">
      <x:formula>E5="Blocked"</x:formula>
    </x:cfRule>
  </x:conditionalFormatting>
  <x:dataValidations count="1">
    <x:dataValidation type="list" sqref="E5:E70">
      <x:formula1>"Not started,In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38da8ec079494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24" hidden="0" customWidth="1"/>
    <x:col min="4" max="4" width="10" hidden="0" customWidth="1"/>
    <x:col min="5" max="5" width="55" hidden="0" customWidth="1"/>
    <x:col min="6" max="6" width="55" hidden="0" customWidth="1"/>
    <x:col min="7" max="7" width="22" hidden="0" customWidth="1"/>
    <x:col min="8" max="8" width="17" hidden="0" customWidth="1"/>
  </x:cols>
  <x:sheetData>
    <x:row r="1" ht="32" customHeight="1">
      <x:c r="A1" s="3" t="str">
        <x:v>REQUIREMENTS &amp; ACCEPTANCE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The normative statements and their acceptance outcomes remain traceable to the approved decisions.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Requirement</x:v>
      </x:c>
      <x:c r="B4" s="12" t="str">
        <x:v>Decision lineage</x:v>
      </x:c>
      <x:c r="C4" s="12" t="str">
        <x:v>Domain</x:v>
      </x:c>
      <x:c r="D4" s="12" t="str">
        <x:v>Priority</x:v>
      </x:c>
      <x:c r="E4" s="12" t="str">
        <x:v>Requirement statement</x:v>
      </x:c>
      <x:c r="F4" s="12" t="str">
        <x:v>Acceptance criterion</x:v>
      </x:c>
      <x:c r="G4" s="12" t="str">
        <x:v>Design status</x:v>
      </x:c>
      <x:c r="H4" s="12" t="str">
        <x:v>Acceptance test</x:v>
      </x:c>
    </x:row>
    <x:row r="5" ht="78" customHeight="1">
      <x:c r="A5" s="17" t="str">
        <x:v>R001</x:v>
      </x:c>
      <x:c r="B5" s="17" t="str">
        <x:v>Q1</x:v>
      </x:c>
      <x:c r="C5" s="17" t="str">
        <x:v>product</x:v>
      </x:c>
      <x:c r="D5" s="17" t="str">
        <x:v>Release required</x:v>
      </x:c>
      <x:c r="E5" s="17" t="str">
        <x:v>Personal-first with near-term multi-user commercialization; preserve tenant and deployment foundations from the start.</x:v>
      </x:c>
      <x:c r="F5" s="17" t="str">
        <x:v>Same core runs a private account and hosted tenants without converting global financial state into user state.</x:v>
      </x:c>
      <x:c r="G5" s="17" t="str">
        <x:v>Specified - not implemented</x:v>
      </x:c>
      <x:c r="H5" s="17" t="str">
        <x:v>AT001</x:v>
      </x:c>
    </x:row>
    <x:row r="6" ht="78" customHeight="1">
      <x:c r="A6" s="17" t="str">
        <x:v>R002</x:v>
      </x:c>
      <x:c r="B6" s="17" t="str">
        <x:v>Q2</x:v>
      </x:c>
      <x:c r="C6" s="17" t="str">
        <x:v>product</x:v>
      </x:c>
      <x:c r="D6" s="17" t="str">
        <x:v>Release required</x:v>
      </x:c>
      <x:c r="E6" s="17" t="str">
        <x:v>Primary purpose is portfolio-aware decisions plus frequent trading signals.</x:v>
      </x:c>
      <x:c r="F6" s="17" t="str">
        <x:v>A decision identifies its goal/account impact; frequent scans do not bypass suitability.</x:v>
      </x:c>
      <x:c r="G6" s="17" t="str">
        <x:v>Specified - not implemented</x:v>
      </x:c>
      <x:c r="H6" s="17" t="str">
        <x:v>AT002</x:v>
      </x:c>
    </x:row>
    <x:row r="7" ht="78" customHeight="1">
      <x:c r="A7" s="17" t="str">
        <x:v>R003</x:v>
      </x:c>
      <x:c r="B7" s="17" t="str">
        <x:v>Q3</x:v>
      </x:c>
      <x:c r="C7" s="17" t="str">
        <x:v>data</x:v>
      </x:c>
      <x:c r="D7" s="17" t="str">
        <x:v>Release required</x:v>
      </x:c>
      <x:c r="E7" s="17" t="str">
        <x:v>A useful no-paid-market-data baseline must not require paid AI; hosting and optional providers are separate.</x:v>
      </x:c>
      <x:c r="F7" s="17" t="str">
        <x:v>Rules-only onboarding and a qualified decision workflow complete with zero paid data and zero AI calls.</x:v>
      </x:c>
      <x:c r="G7" s="17" t="str">
        <x:v>Specified - not implemented</x:v>
      </x:c>
      <x:c r="H7" s="17" t="str">
        <x:v>AT003</x:v>
      </x:c>
    </x:row>
    <x:row r="8" ht="78" customHeight="1">
      <x:c r="A8" s="17" t="str">
        <x:v>R004</x:v>
      </x:c>
      <x:c r="B8" s="17" t="str">
        <x:v>Q4</x:v>
      </x:c>
      <x:c r="C8" s="17" t="str">
        <x:v>data</x:v>
      </x:c>
      <x:c r="D8" s="17" t="str">
        <x:v>Release required</x:v>
      </x:c>
      <x:c r="E8" s="17" t="str">
        <x:v>Mandatory discovery is US-listed stocks and ETFs with currency-aware accounts.</x:v>
      </x:c>
      <x:c r="F8" s="17" t="str">
        <x:v>US instrument identity and CAD/USD accounting work; outside-scope holdings remain visible.</x:v>
      </x:c>
      <x:c r="G8" s="17" t="str">
        <x:v>Specified - not implemented</x:v>
      </x:c>
      <x:c r="H8" s="17" t="str">
        <x:v>AT004</x:v>
      </x:c>
    </x:row>
    <x:row r="9" ht="78" customHeight="1">
      <x:c r="A9" s="17" t="str">
        <x:v>R005</x:v>
      </x:c>
      <x:c r="B9" s="17" t="str">
        <x:v>Q5</x:v>
      </x:c>
      <x:c r="C9" s="17" t="str">
        <x:v>security</x:v>
      </x:c>
      <x:c r="D9" s="17" t="str">
        <x:v>Release required</x:v>
      </x:c>
      <x:c r="E9" s="17" t="str">
        <x:v>First release proposes specific actions but never submits, modifies or cancels broker orders.</x:v>
      </x:c>
      <x:c r="F9" s="17" t="str">
        <x:v>Broker mutation routes/tools are absent and attempted mutations are blocked at connector boundaries.</x:v>
      </x:c>
      <x:c r="G9" s="17" t="str">
        <x:v>Specified - not implemented</x:v>
      </x:c>
      <x:c r="H9" s="17" t="str">
        <x:v>AT005</x:v>
      </x:c>
    </x:row>
    <x:row r="10" ht="78" customHeight="1">
      <x:c r="A10" s="17" t="str">
        <x:v>R006</x:v>
      </x:c>
      <x:c r="B10" s="17" t="str">
        <x:v>Q6</x:v>
      </x:c>
      <x:c r="C10" s="17" t="str">
        <x:v>platform</x:v>
      </x:c>
      <x:c r="D10" s="17" t="str">
        <x:v>Release required</x:v>
      </x:c>
      <x:c r="E10" s="17" t="str">
        <x:v>Both hosted and complete self-hosted editions are release requirements.</x:v>
      </x:c>
      <x:c r="F10" s="17" t="str">
        <x:v>Both deployment profiles pass core journeys and isolation checks.</x:v>
      </x:c>
      <x:c r="G10" s="17" t="str">
        <x:v>Specified - not implemented</x:v>
      </x:c>
      <x:c r="H10" s="17" t="str">
        <x:v>AT006</x:v>
      </x:c>
    </x:row>
    <x:row r="11" ht="78" customHeight="1">
      <x:c r="A11" s="17" t="str">
        <x:v>R007</x:v>
      </x:c>
      <x:c r="B11" s="17" t="str">
        <x:v>Q7</x:v>
      </x:c>
      <x:c r="C11" s="17" t="str">
        <x:v>compliance</x:v>
      </x:c>
      <x:c r="D11" s="17" t="str">
        <x:v>Release required</x:v>
      </x:c>
      <x:c r="E11" s="17" t="str">
        <x:v>Initial commercial audience includes Canadian and US residents.</x:v>
      </x:c>
      <x:c r="F11" s="17" t="str">
        <x:v>Jurisdiction inventory and counsel-approved capability matrix cover intended launch customers in both countries.</x:v>
      </x:c>
      <x:c r="G11" s="17" t="str">
        <x:v>Specified - not implemented</x:v>
      </x:c>
      <x:c r="H11" s="17" t="str">
        <x:v>AT007</x:v>
      </x:c>
    </x:row>
    <x:row r="12" ht="78" customHeight="1">
      <x:c r="A12" s="17" t="str">
        <x:v>R008</x:v>
      </x:c>
      <x:c r="B12" s="17" t="str">
        <x:v>Q8</x:v>
      </x:c>
      <x:c r="C12" s="17" t="str">
        <x:v>strategies</x:v>
      </x:c>
      <x:c r="D12" s="17" t="str">
        <x:v>Release required</x:v>
      </x:c>
      <x:c r="E12" s="17" t="str">
        <x:v>Intraday swing discovery plus optional same-day opportunities; no sub-minute scalping requirement.</x:v>
      </x:c>
      <x:c r="F12" s="17" t="str">
        <x:v>Qualified regular-session strategy can produce timely proposals under its data/model configuration.</x:v>
      </x:c>
      <x:c r="G12" s="17" t="str">
        <x:v>Specified - not implemented</x:v>
      </x:c>
      <x:c r="H12" s="17" t="str">
        <x:v>AT008</x:v>
      </x:c>
    </x:row>
    <x:row r="13" ht="78" customHeight="1">
      <x:c r="A13" s="17" t="str">
        <x:v>R009</x:v>
      </x:c>
      <x:c r="B13" s="17" t="str">
        <x:v>Q9</x:v>
      </x:c>
      <x:c r="C13" s="17" t="str">
        <x:v>strategies</x:v>
      </x:c>
      <x:c r="D13" s="17" t="str">
        <x:v>Release required</x:v>
      </x:c>
      <x:c r="E13" s="17" t="str">
        <x:v>Frequent evaluation means timely qualifying changes, not a quota of trades.</x:v>
      </x:c>
      <x:c r="F13" s="17" t="str">
        <x:v>A no-opportunity session records zero proposals and explicit rejection reasons without manufactured trades.</x:v>
      </x:c>
      <x:c r="G13" s="17" t="str">
        <x:v>Specified - not implemented</x:v>
      </x:c>
      <x:c r="H13" s="17" t="str">
        <x:v>AT009</x:v>
      </x:c>
    </x:row>
    <x:row r="14" ht="78" customHeight="1">
      <x:c r="A14" s="17" t="str">
        <x:v>R010</x:v>
      </x:c>
      <x:c r="B14" s="17" t="str">
        <x:v>Q10</x:v>
      </x:c>
      <x:c r="C14" s="17" t="str">
        <x:v>risk</x:v>
      </x:c>
      <x:c r="D14" s="17" t="str">
        <x:v>Release required</x:v>
      </x:c>
      <x:c r="E14" s="17" t="str">
        <x:v>Separate investing and trading allocations with portfolio-wide limits.</x:v>
      </x:c>
      <x:c r="F14" s="17" t="str">
        <x:v>A trading proposal cannot spend a long-term reserve and combined exposure is checked.</x:v>
      </x:c>
      <x:c r="G14" s="17" t="str">
        <x:v>Specified - not implemented</x:v>
      </x:c>
      <x:c r="H14" s="17" t="str">
        <x:v>AT010</x:v>
      </x:c>
    </x:row>
    <x:row r="15" ht="78" customHeight="1">
      <x:c r="A15" s="17" t="str">
        <x:v>R011</x:v>
      </x:c>
      <x:c r="B15" s="17" t="str">
        <x:v>Q11</x:v>
      </x:c>
      <x:c r="C15" s="17" t="str">
        <x:v>data</x:v>
      </x:c>
      <x:c r="D15" s="17" t="str">
        <x:v>Release required</x:v>
      </x:c>
      <x:c r="E15" s="17" t="str">
        <x:v>Free mode may require a user-connected free provider account/key.</x:v>
      </x:c>
      <x:c r="F15" s="17" t="str">
        <x:v>Setup discloses provider account, limits and rights; key connection alone does not mark capabilities qualified.</x:v>
      </x:c>
      <x:c r="G15" s="17" t="str">
        <x:v>Specified - not implemented</x:v>
      </x:c>
      <x:c r="H15" s="17" t="str">
        <x:v>AT011</x:v>
      </x:c>
    </x:row>
    <x:row r="16" ht="78" customHeight="1">
      <x:c r="A16" s="17" t="str">
        <x:v>R012</x:v>
      </x:c>
      <x:c r="B16" s="17" t="str">
        <x:v>Q12</x:v>
      </x:c>
      <x:c r="C16" s="17" t="str">
        <x:v>portfolio</x:v>
      </x:c>
      <x:c r="D16" s="17" t="str">
        <x:v>Release required</x:v>
      </x:c>
      <x:c r="E16" s="17" t="str">
        <x:v>Stale or unreconciled holdings/cash block affected portfolio-specific sizing.</x:v>
      </x:c>
      <x:c r="F16" s="17" t="str">
        <x:v>A stale account yields research or hypothetical output, not confirmed buying-power sizing.</x:v>
      </x:c>
      <x:c r="G16" s="17" t="str">
        <x:v>Specified - not implemented</x:v>
      </x:c>
      <x:c r="H16" s="17" t="str">
        <x:v>AT012</x:v>
      </x:c>
    </x:row>
    <x:row r="17" ht="78" customHeight="1">
      <x:c r="A17" s="17" t="str">
        <x:v>R013</x:v>
      </x:c>
      <x:c r="B17" s="17" t="str">
        <x:v>Q13</x:v>
      </x:c>
      <x:c r="C17" s="17" t="str">
        <x:v>platform</x:v>
      </x:c>
      <x:c r="D17" s="17" t="str">
        <x:v>Release required</x:v>
      </x:c>
      <x:c r="E17" s="17" t="str">
        <x:v>Independent open-source core and complete self-hosted application; no mandatory vendor-operated service.</x:v>
      </x:c>
      <x:c r="F17" s="17" t="str">
        <x:v>Disconnect vendor services and exercise permitted core workflows with user-selected dependencies.</x:v>
      </x:c>
      <x:c r="G17" s="17" t="str">
        <x:v>Specified - not implemented</x:v>
      </x:c>
      <x:c r="H17" s="17" t="str">
        <x:v>AT013</x:v>
      </x:c>
    </x:row>
    <x:row r="18" ht="78" customHeight="1">
      <x:c r="A18" s="17" t="str">
        <x:v>R014</x:v>
      </x:c>
      <x:c r="B18" s="17" t="str">
        <x:v>Q14</x:v>
      </x:c>
      <x:c r="C18" s="17" t="str">
        <x:v>data</x:v>
      </x:c>
      <x:c r="D18" s="17" t="str">
        <x:v>Release required</x:v>
      </x:c>
      <x:c r="E18" s="17" t="str">
        <x:v>Prioritized live monitoring plus broader scheduled discovery; tracked and streamed universes differ.</x:v>
      </x:c>
      <x:c r="F18" s="17" t="str">
        <x:v>Exceeding live-symbol quota produces visible prioritization, not fictitious continuous coverage.</x:v>
      </x:c>
      <x:c r="G18" s="17" t="str">
        <x:v>Specified - not implemented</x:v>
      </x:c>
      <x:c r="H18" s="17" t="str">
        <x:v>AT014</x:v>
      </x:c>
    </x:row>
    <x:row r="19" ht="78" customHeight="1">
      <x:c r="A19" s="17" t="str">
        <x:v>R015</x:v>
      </x:c>
      <x:c r="B19" s="17" t="str">
        <x:v>Q15</x:v>
      </x:c>
      <x:c r="C19" s="17" t="str">
        <x:v>ai</x:v>
      </x:c>
      <x:c r="D19" s="17" t="str">
        <x:v>Release required</x:v>
      </x:c>
      <x:c r="E19" s="17" t="str">
        <x:v>Auditable rules and AI research both originate proposals; a separate agent evaluates actionable AI-mode proposals.</x:v>
      </x:c>
      <x:c r="F19" s="17" t="str">
        <x:v>An AI-only thesis can qualify without a technical trigger, but cannot bypass hard checks.</x:v>
      </x:c>
      <x:c r="G19" s="17" t="str">
        <x:v>Specified - not implemented</x:v>
      </x:c>
      <x:c r="H19" s="17" t="str">
        <x:v>AT015</x:v>
      </x:c>
    </x:row>
    <x:row r="20" ht="78" customHeight="1">
      <x:c r="A20" s="17" t="str">
        <x:v>R016</x:v>
      </x:c>
      <x:c r="B20" s="17" t="str">
        <x:v>Q16</x:v>
      </x:c>
      <x:c r="C20" s="17" t="str">
        <x:v>onboarding</x:v>
      </x:c>
      <x:c r="D20" s="17" t="str">
        <x:v>Release required</x:v>
      </x:c>
      <x:c r="E20" s="17" t="str">
        <x:v>MCQs and necessary numeric/date inputs propose a policy/strategy shortlist for explicit runtime approval.</x:v>
      </x:c>
      <x:c r="F20" s="17" t="str">
        <x:v>Contradictory objectives require resolution and no policy is active merely from inferred answers.</x:v>
      </x:c>
      <x:c r="G20" s="17" t="str">
        <x:v>Specified - not implemented</x:v>
      </x:c>
      <x:c r="H20" s="17" t="str">
        <x:v>AT016</x:v>
      </x:c>
    </x:row>
    <x:row r="21" ht="78" customHeight="1">
      <x:c r="A21" s="17" t="str">
        <x:v>R017</x:v>
      </x:c>
      <x:c r="B21" s="17" t="str">
        <x:v>Q17</x:v>
      </x:c>
      <x:c r="C21" s="17" t="str">
        <x:v>options</x:v>
      </x:c>
      <x:c r="D21" s="17" t="str">
        <x:v>Release required</x:v>
      </x:c>
      <x:c r="E21" s="17" t="str">
        <x:v>Opt-in first-release options include long calls/puts, covered calls, cash-secured puts and defined-risk verticals.</x:v>
      </x:c>
      <x:c r="F21" s="17" t="str">
        <x:v>All permitted structures have scenarios and checks; out-of-scope imported contracts remain represented.</x:v>
      </x:c>
      <x:c r="G21" s="17" t="str">
        <x:v>Specified - not implemented</x:v>
      </x:c>
      <x:c r="H21" s="17" t="str">
        <x:v>AT017</x:v>
      </x:c>
    </x:row>
    <x:row r="22" ht="78" customHeight="1">
      <x:c r="A22" s="17" t="str">
        <x:v>R018</x:v>
      </x:c>
      <x:c r="B22" s="17" t="str">
        <x:v>Q18</x:v>
      </x:c>
      <x:c r="C22" s="17" t="str">
        <x:v>ai</x:v>
      </x:c>
      <x:c r="D22" s="17" t="str">
        <x:v>Release required</x:v>
      </x:c>
      <x:c r="E22" s="17" t="str">
        <x:v>API and subscription access use provider-specific officially permitted routes and deployment qualification.</x:v>
      </x:c>
      <x:c r="F22" s="17" t="str">
        <x:v>No session-token interception/proxy; unavailable subscription routes are reported, not emulated.</x:v>
      </x:c>
      <x:c r="G22" s="17" t="str">
        <x:v>Specified - not implemented</x:v>
      </x:c>
      <x:c r="H22" s="17" t="str">
        <x:v>AT018</x:v>
      </x:c>
    </x:row>
    <x:row r="23" ht="78" customHeight="1">
      <x:c r="A23" s="17" t="str">
        <x:v>R019</x:v>
      </x:c>
      <x:c r="B23" s="17" t="str">
        <x:v>Q19</x:v>
      </x:c>
      <x:c r="C23" s="17" t="str">
        <x:v>ai</x:v>
      </x:c>
      <x:c r="D23" s="17" t="str">
        <x:v>Release required</x:v>
      </x:c>
      <x:c r="E23" s="17" t="str">
        <x:v>Mandatory evidence/calculation verification is tiered; separate model review is required for AI-mode actions.</x:v>
      </x:c>
      <x:c r="F23" s="17" t="str">
        <x:v>Factual alerts can pass without LLMs; pending AI review cannot be relabelled as reviewed.</x:v>
      </x:c>
      <x:c r="G23" s="17" t="str">
        <x:v>Specified - not implemented</x:v>
      </x:c>
      <x:c r="H23" s="17" t="str">
        <x:v>AT019</x:v>
      </x:c>
    </x:row>
    <x:row r="24" ht="78" customHeight="1">
      <x:c r="A24" s="17" t="str">
        <x:v>R020</x:v>
      </x:c>
      <x:c r="B24" s="17" t="str">
        <x:v>Q20</x:v>
      </x:c>
      <x:c r="C24" s="17" t="str">
        <x:v>proposals</x:v>
      </x:c>
      <x:c r="D24" s="17" t="str">
        <x:v>Release required</x:v>
      </x:c>
      <x:c r="E24" s="17" t="str">
        <x:v>Action proposals expire and have invalidation conditions plus preserved version history.</x:v>
      </x:c>
      <x:c r="F24" s="17" t="str">
        <x:v>Late notifications resolve to current state; corrected decisions do not overwrite original results.</x:v>
      </x:c>
      <x:c r="G24" s="17" t="str">
        <x:v>Specified - not implemented</x:v>
      </x:c>
      <x:c r="H24" s="17" t="str">
        <x:v>AT020</x:v>
      </x:c>
    </x:row>
    <x:row r="25" ht="78" customHeight="1">
      <x:c r="A25" s="17" t="str">
        <x:v>R021</x:v>
      </x:c>
      <x:c r="B25" s="17" t="str">
        <x:v>Q21</x:v>
      </x:c>
      <x:c r="C25" s="17" t="str">
        <x:v>compliance</x:v>
      </x:c>
      <x:c r="D25" s="17" t="str">
        <x:v>Release required</x:v>
      </x:c>
      <x:c r="E25" s="17" t="str">
        <x:v>Commercial legal and provider-rights clearance are release gates.</x:v>
      </x:c>
      <x:c r="F25" s="17" t="str">
        <x:v>Documentation access and disclaimers do not mark rights/regulatory gates passed.</x:v>
      </x:c>
      <x:c r="G25" s="17" t="str">
        <x:v>Specified - not implemented</x:v>
      </x:c>
      <x:c r="H25" s="17" t="str">
        <x:v>AT021</x:v>
      </x:c>
    </x:row>
    <x:row r="26" ht="78" customHeight="1">
      <x:c r="A26" s="17" t="str">
        <x:v>R022</x:v>
      </x:c>
      <x:c r="B26" s="17" t="str">
        <x:v>Q22</x:v>
      </x:c>
      <x:c r="C26" s="17" t="str">
        <x:v>platform</x:v>
      </x:c>
      <x:c r="D26" s="17" t="str">
        <x:v>Release required</x:v>
      </x:c>
      <x:c r="E26" s="17" t="str">
        <x:v>Apache-2.0 is the selected application license, superseding AGPL proposals.</x:v>
      </x:c>
      <x:c r="F26" s="17" t="str">
        <x:v>License and dependency inventory reflect Apache choice without bundling incompatible material by assumption.</x:v>
      </x:c>
      <x:c r="G26" s="17" t="str">
        <x:v>Specified - not implemented</x:v>
      </x:c>
      <x:c r="H26" s="17" t="str">
        <x:v>AT022</x:v>
      </x:c>
    </x:row>
    <x:row r="27" ht="78" customHeight="1">
      <x:c r="A27" s="17" t="str">
        <x:v>R023</x:v>
      </x:c>
      <x:c r="B27" s="17" t="str">
        <x:v>Q23</x:v>
      </x:c>
      <x:c r="C27" s="17" t="str">
        <x:v>ai</x:v>
      </x:c>
      <x:c r="D27" s="17" t="str">
        <x:v>Release required</x:v>
      </x:c>
      <x:c r="E27" s="17" t="str">
        <x:v>Support audited rules-only and AI-enabled modes; evaluator covers both proposal origins in AI mode.</x:v>
      </x:c>
      <x:c r="F27" s="17" t="str">
        <x:v>Switching modes is explicit; rule outputs are not falsely labelled AI-reviewed.</x:v>
      </x:c>
      <x:c r="G27" s="17" t="str">
        <x:v>Specified - not implemented</x:v>
      </x:c>
      <x:c r="H27" s="17" t="str">
        <x:v>AT023</x:v>
      </x:c>
    </x:row>
    <x:row r="28" ht="78" customHeight="1">
      <x:c r="A28" s="17" t="str">
        <x:v>R024</x:v>
      </x:c>
      <x:c r="B28" s="17" t="str">
        <x:v>Q24</x:v>
      </x:c>
      <x:c r="C28" s="17" t="str">
        <x:v>research</x:v>
      </x:c>
      <x:c r="D28" s="17" t="str">
        <x:v>Release required</x:v>
      </x:c>
      <x:c r="E28" s="17" t="str">
        <x:v>AI proposals qualify through evaluated research workflows and proposal-specific checks, not necessarily a backtested rule.</x:v>
      </x:c>
      <x:c r="F28" s="17" t="str">
        <x:v>Workflow status/version is recorded and model changes do not silently inherit evidence.</x:v>
      </x:c>
      <x:c r="G28" s="17" t="str">
        <x:v>Specified - not implemented</x:v>
      </x:c>
      <x:c r="H28" s="17" t="str">
        <x:v>AT024</x:v>
      </x:c>
    </x:row>
    <x:row r="29" ht="78" customHeight="1">
      <x:c r="A29" s="17" t="str">
        <x:v>R025</x:v>
      </x:c>
      <x:c r="B29" s="17" t="str">
        <x:v>Q25</x:v>
      </x:c>
      <x:c r="C29" s="17" t="str">
        <x:v>ai</x:v>
      </x:c>
      <x:c r="D29" s="17" t="str">
        <x:v>Release required</x:v>
      </x:c>
      <x:c r="E29" s="17" t="str">
        <x:v>Evaluator is a separate run/context; a different model family is optional and empirically justified.</x:v>
      </x:c>
      <x:c r="F29" s="17" t="str">
        <x:v>Configuration reports same-model isolation versus cross-model diversity accurately.</x:v>
      </x:c>
      <x:c r="G29" s="17" t="str">
        <x:v>Specified - not implemented</x:v>
      </x:c>
      <x:c r="H29" s="17" t="str">
        <x:v>AT025</x:v>
      </x:c>
    </x:row>
    <x:row r="30" ht="78" customHeight="1">
      <x:c r="A30" s="17" t="str">
        <x:v>R026</x:v>
      </x:c>
      <x:c r="B30" s="17" t="str">
        <x:v>Q26</x:v>
      </x:c>
      <x:c r="C30" s="17" t="str">
        <x:v>ai</x:v>
      </x:c>
      <x:c r="D30" s="17" t="str">
        <x:v>Release required</x:v>
      </x:c>
      <x:c r="E30" s="17" t="str">
        <x:v>Material factual/evidence conflicts and hard risk failures block; forecast differences may be disclosed; revisions bounded.</x:v>
      </x:c>
      <x:c r="F30" s="17" t="str">
        <x:v>Reviewer disagreement cannot be bypassed by repeated sampling until an approval appears.</x:v>
      </x:c>
      <x:c r="G30" s="17" t="str">
        <x:v>Specified - not implemented</x:v>
      </x:c>
      <x:c r="H30" s="17" t="str">
        <x:v>AT026</x:v>
      </x:c>
    </x:row>
    <x:row r="31" ht="78" customHeight="1">
      <x:c r="A31" s="17" t="str">
        <x:v>R027</x:v>
      </x:c>
      <x:c r="B31" s="17" t="str">
        <x:v>Q27</x:v>
      </x:c>
      <x:c r="C31" s="17" t="str">
        <x:v>ai</x:v>
      </x:c>
      <x:c r="D31" s="17" t="str">
        <x:v>Release required</x:v>
      </x:c>
      <x:c r="E31" s="17" t="str">
        <x:v>Frequent deterministic monitoring; AI on meaningful events/schedules/requests within budgets and deadlines.</x:v>
      </x:c>
      <x:c r="F31" s="17" t="str">
        <x:v>Unchanged evidence is reused lawfully; quota exhaustion cannot remove mandatory review.</x:v>
      </x:c>
      <x:c r="G31" s="17" t="str">
        <x:v>Specified - not implemented</x:v>
      </x:c>
      <x:c r="H31" s="17" t="str">
        <x:v>AT027</x:v>
      </x:c>
    </x:row>
    <x:row r="32" ht="78" customHeight="1">
      <x:c r="A32" s="17" t="str">
        <x:v>R028</x:v>
      </x:c>
      <x:c r="B32" s="17" t="str">
        <x:v>Q28</x:v>
      </x:c>
      <x:c r="C32" s="17" t="str">
        <x:v>improvement</x:v>
      </x:c>
      <x:c r="D32" s="17" t="str">
        <x:v>Release required</x:v>
      </x:c>
      <x:c r="E32" s="17" t="str">
        <x:v>All six improvement targets are in scope, including code and the optimizer itself.</x:v>
      </x:c>
      <x:c r="F32" s="17" t="str">
        <x:v>Each target has a candidate/evaluation/review/promotion/rollback path.</x:v>
      </x:c>
      <x:c r="G32" s="17" t="str">
        <x:v>Specified - not implemented</x:v>
      </x:c>
      <x:c r="H32" s="17" t="str">
        <x:v>AT028</x:v>
      </x:c>
    </x:row>
    <x:row r="33" ht="78" customHeight="1">
      <x:c r="A33" s="17" t="str">
        <x:v>R029</x:v>
      </x:c>
      <x:c r="B33" s="17" t="str">
        <x:v>Q29</x:v>
      </x:c>
      <x:c r="C33" s="17" t="str">
        <x:v>improvement</x:v>
      </x:c>
      <x:c r="D33" s="17" t="str">
        <x:v>Release required</x:v>
      </x:c>
      <x:c r="E33" s="17" t="str">
        <x:v>Promotion uses predeclared scorecards with hard risk/privacy/evidence constraints, not recent returns alone.</x:v>
      </x:c>
      <x:c r="F33" s="17" t="str">
        <x:v>A candidate with higher simulated P&amp;L but a hard violation is rejected.</x:v>
      </x:c>
      <x:c r="G33" s="17" t="str">
        <x:v>Specified - not implemented</x:v>
      </x:c>
      <x:c r="H33" s="17" t="str">
        <x:v>AT029</x:v>
      </x:c>
    </x:row>
    <x:row r="34" ht="78" customHeight="1">
      <x:c r="A34" s="17" t="str">
        <x:v>R030</x:v>
      </x:c>
      <x:c r="B34" s="17" t="str">
        <x:v>Q30</x:v>
      </x:c>
      <x:c r="C34" s="17" t="str">
        <x:v>improvement</x:v>
      </x:c>
      <x:c r="D34" s="17" t="str">
        <x:v>Release required</x:v>
      </x:c>
      <x:c r="E34" s="17" t="str">
        <x:v>Autonomous authorized experiments, human-controlled promotion of investment-affecting or code changes.</x:v>
      </x:c>
      <x:c r="F34" s="17" t="str">
        <x:v>A model cannot self-approve its deployment or widen permissions.</x:v>
      </x:c>
      <x:c r="G34" s="17" t="str">
        <x:v>Specified - not implemented</x:v>
      </x:c>
      <x:c r="H34" s="17" t="str">
        <x:v>AT030</x:v>
      </x:c>
    </x:row>
    <x:row r="35" ht="78" customHeight="1">
      <x:c r="A35" s="17" t="str">
        <x:v>R031</x:v>
      </x:c>
      <x:c r="B35" s="17" t="str">
        <x:v>Q31</x:v>
      </x:c>
      <x:c r="C35" s="17" t="str">
        <x:v>privacy</x:v>
      </x:c>
      <x:c r="D35" s="17" t="str">
        <x:v>Release required</x:v>
      </x:c>
      <x:c r="E35" s="17" t="str">
        <x:v>Private learning per user/installation by default; cross-user use requires separate consent and permitted data.</x:v>
      </x:c>
      <x:c r="F35" s="17" t="str">
        <x:v>Another tenant cannot access or learn from private examples absent authorized transformation/consent.</x:v>
      </x:c>
      <x:c r="G35" s="17" t="str">
        <x:v>Specified - not implemented</x:v>
      </x:c>
      <x:c r="H35" s="17" t="str">
        <x:v>AT031</x:v>
      </x:c>
    </x:row>
    <x:row r="36" ht="78" customHeight="1">
      <x:c r="A36" s="17" t="str">
        <x:v>R032</x:v>
      </x:c>
      <x:c r="B36" s="17" t="str">
        <x:v>Q32</x:v>
      </x:c>
      <x:c r="C36" s="17" t="str">
        <x:v>improvement</x:v>
      </x:c>
      <x:c r="D36" s="17" t="str">
        <x:v>Release required</x:v>
      </x:c>
      <x:c r="E36" s="17" t="str">
        <x:v>Separate experiment resource budgets; current monitoring and verification take priority.</x:v>
      </x:c>
      <x:c r="F36" s="17" t="str">
        <x:v>Experiment exhaustion pauses experiments while essential services remain available.</x:v>
      </x:c>
      <x:c r="G36" s="17" t="str">
        <x:v>Specified - not implemented</x:v>
      </x:c>
      <x:c r="H36" s="17" t="str">
        <x:v>AT032</x:v>
      </x:c>
    </x:row>
    <x:row r="37" ht="78" customHeight="1">
      <x:c r="A37" s="17" t="str">
        <x:v>R033</x:v>
      </x:c>
      <x:c r="B37" s="17" t="str">
        <x:v>Q33</x:v>
      </x:c>
      <x:c r="C37" s="17" t="str">
        <x:v>improvement</x:v>
      </x:c>
      <x:c r="D37" s="17" t="str">
        <x:v>Release required</x:v>
      </x:c>
      <x:c r="E37" s="17" t="str">
        <x:v>All six improvement areas, code-level change and recursive optimizer change must work at first release.</x:v>
      </x:c>
      <x:c r="F37" s="17" t="str">
        <x:v>Full release cannot pass by labelling code/recursive paths future work or disabling them.</x:v>
      </x:c>
      <x:c r="G37" s="17" t="str">
        <x:v>Specified - not implemented</x:v>
      </x:c>
      <x:c r="H37" s="17" t="str">
        <x:v>AT033</x:v>
      </x:c>
    </x:row>
    <x:row r="38" ht="78" customHeight="1">
      <x:c r="A38" s="17" t="str">
        <x:v>R034</x:v>
      </x:c>
      <x:c r="B38" s="17" t="str">
        <x:v>Q34</x:v>
      </x:c>
      <x:c r="C38" s="17" t="str">
        <x:v>governance</x:v>
      </x:c>
      <x:c r="D38" s="17" t="str">
        <x:v>Release required</x:v>
      </x:c>
      <x:c r="E38" s="17" t="str">
        <x:v>Material changes to enabled investment strategies require user adoption after release approval.</x:v>
      </x:c>
      <x:c r="F38" s="17" t="str">
        <x:v>Maintainer approval does not silently change an existing user's strategy semantics.</x:v>
      </x:c>
      <x:c r="G38" s="17" t="str">
        <x:v>Specified - not implemented</x:v>
      </x:c>
      <x:c r="H38" s="17" t="str">
        <x:v>AT034</x:v>
      </x:c>
    </x:row>
    <x:row r="39" ht="78" customHeight="1">
      <x:c r="A39" s="17" t="str">
        <x:v>R035</x:v>
      </x:c>
      <x:c r="B39" s="17" t="str">
        <x:v>Q35</x:v>
      </x:c>
      <x:c r="C39" s="17" t="str">
        <x:v>operations</x:v>
      </x:c>
      <x:c r="D39" s="17" t="str">
        <x:v>Release required</x:v>
      </x:c>
      <x:c r="E39" s="17" t="str">
        <x:v>Personal pilot incremental inference ceiling USD100/month; improvement maximum 20 percent (USD20).</x:v>
      </x:c>
      <x:c r="F39" s="17" t="str">
        <x:v>Concurrent reservations cannot exceed either cap; unrelated subscription/hosting expenses are separately shown.</x:v>
      </x:c>
      <x:c r="G39" s="17" t="str">
        <x:v>Specified - not implemented</x:v>
      </x:c>
      <x:c r="H39" s="17" t="str">
        <x:v>AT035</x:v>
      </x:c>
    </x:row>
    <x:row r="40" ht="78" customHeight="1">
      <x:c r="A40" s="17" t="str">
        <x:v>R036</x:v>
      </x:c>
      <x:c r="B40" s="17" t="str">
        <x:v>Q36</x:v>
      </x:c>
      <x:c r="C40" s="17" t="str">
        <x:v>platform</x:v>
      </x:c>
      <x:c r="D40" s="17" t="str">
        <x:v>Release required</x:v>
      </x:c>
      <x:c r="E40" s="17" t="str">
        <x:v>Single-machine container self-hosting without required Kubernetes/GPU/vendor service.</x:v>
      </x:c>
      <x:c r="F40" s="17" t="str">
        <x:v>Clean supported installation, backup restore and core workflows complete on qualified hardware.</x:v>
      </x:c>
      <x:c r="G40" s="17" t="str">
        <x:v>Specified - not implemented</x:v>
      </x:c>
      <x:c r="H40" s="17" t="str">
        <x:v>AT036</x:v>
      </x:c>
    </x:row>
    <x:row r="41" ht="78" customHeight="1">
      <x:c r="A41" s="17" t="str">
        <x:v>R037</x:v>
      </x:c>
      <x:c r="B41" s="17" t="str">
        <x:v>Q37</x:v>
      </x:c>
      <x:c r="C41" s="17" t="str">
        <x:v>improvement</x:v>
      </x:c>
      <x:c r="D41" s="17" t="str">
        <x:v>Release required</x:v>
      </x:c>
      <x:c r="E41" s="17" t="str">
        <x:v>Demonstrate V0 optimizer proposing V1, independent evaluation, human promotion, then V1 running next cycle.</x:v>
      </x:c>
      <x:c r="F41" s="17" t="str">
        <x:v>Lineage and actual version receipts prove changed implementation was used, including rejected controls.</x:v>
      </x:c>
      <x:c r="G41" s="17" t="str">
        <x:v>Specified - not implemented</x:v>
      </x:c>
      <x:c r="H41" s="17" t="str">
        <x:v>AT037</x:v>
      </x:c>
    </x:row>
    <x:row r="42" ht="78" customHeight="1">
      <x:c r="A42" s="17" t="str">
        <x:v>R038</x:v>
      </x:c>
      <x:c r="B42" s="17" t="str">
        <x:v>Q38</x:v>
      </x:c>
      <x:c r="C42" s="17" t="str">
        <x:v>security</x:v>
      </x:c>
      <x:c r="D42" s="17" t="str">
        <x:v>Release required</x:v>
      </x:c>
      <x:c r="E42" s="17" t="str">
        <x:v>Generated code is isolated from production secrets, DB writes, unrestricted network and host control.</x:v>
      </x:c>
      <x:c r="F42" s="17" t="str">
        <x:v>Sandbox escape/secret/egress tests fail closed with no weaker silent fallback.</x:v>
      </x:c>
      <x:c r="G42" s="17" t="str">
        <x:v>Specified - not implemented</x:v>
      </x:c>
      <x:c r="H42" s="17" t="str">
        <x:v>AT038</x:v>
      </x:c>
    </x:row>
    <x:row r="43" ht="78" customHeight="1">
      <x:c r="A43" s="17" t="str">
        <x:v>R039</x:v>
      </x:c>
      <x:c r="B43" s="17" t="str">
        <x:v>Q39</x:v>
      </x:c>
      <x:c r="C43" s="17" t="str">
        <x:v>improvement</x:v>
      </x:c>
      <x:c r="D43" s="17" t="str">
        <x:v>Release required</x:v>
      </x:c>
      <x:c r="E43" s="17" t="str">
        <x:v>User learning is tenant-scoped; shared executable/optimizer changes are installation/release scoped.</x:v>
      </x:c>
      <x:c r="F43" s="17" t="str">
        <x:v>Hosted user cannot deploy a private executable fork into shared production.</x:v>
      </x:c>
      <x:c r="G43" s="17" t="str">
        <x:v>Specified - not implemented</x:v>
      </x:c>
      <x:c r="H43" s="17" t="str">
        <x:v>AT039</x:v>
      </x:c>
    </x:row>
    <x:row r="44" ht="78" customHeight="1">
      <x:c r="A44" s="17" t="str">
        <x:v>R040</x:v>
      </x:c>
      <x:c r="B44" s="17" t="str">
        <x:v>Q40</x:v>
      </x:c>
      <x:c r="C44" s="17" t="str">
        <x:v>research</x:v>
      </x:c>
      <x:c r="D44" s="17" t="str">
        <x:v>Release required</x:v>
      </x:c>
      <x:c r="E44" s="17" t="str">
        <x:v>Open evaluation framework and permitted starter corpus; distinguish synthetic/historical/prospective evidence.</x:v>
      </x:c>
      <x:c r="F44" s="17" t="str">
        <x:v>Starter demonstrations never count as live trading evidence or personal learned history.</x:v>
      </x:c>
      <x:c r="G44" s="17" t="str">
        <x:v>Specified - not implemented</x:v>
      </x:c>
      <x:c r="H44" s="17" t="str">
        <x:v>AT040</x:v>
      </x:c>
    </x:row>
    <x:row r="45" ht="78" customHeight="1">
      <x:c r="A45" s="17" t="str">
        <x:v>R041</x:v>
      </x:c>
      <x:c r="B45" s="17" t="str">
        <x:v>Q41</x:v>
      </x:c>
      <x:c r="C45" s="17" t="str">
        <x:v>product</x:v>
      </x:c>
      <x:c r="D45" s="17" t="str">
        <x:v>Release required</x:v>
      </x:c>
      <x:c r="E45" s="17" t="str">
        <x:v>Full scope and release gates take precedence over launch date; budget limits throughput rather than silently cutting scope.</x:v>
      </x:c>
      <x:c r="F45" s="17" t="str">
        <x:v>Required capabilities actually complete representative workloads within qualified resource constraints.</x:v>
      </x:c>
      <x:c r="G45" s="17" t="str">
        <x:v>Specified - not implemented</x:v>
      </x:c>
      <x:c r="H45" s="17" t="str">
        <x:v>AT041</x:v>
      </x:c>
    </x:row>
    <x:row r="46" ht="78" customHeight="1">
      <x:c r="A46" s="17" t="str">
        <x:v>R042</x:v>
      </x:c>
      <x:c r="B46" s="17" t="str">
        <x:v>Q42</x:v>
      </x:c>
      <x:c r="C46" s="17" t="str">
        <x:v>portfolio</x:v>
      </x:c>
      <x:c r="D46" s="17" t="str">
        <x:v>Release required</x:v>
      </x:c>
      <x:c r="E46" s="17" t="str">
        <x:v>Partial portfolios allowed with scoped conclusions; outside-coverage assets retained with gaps.</x:v>
      </x:c>
      <x:c r="F46" s="17" t="str">
        <x:v>Unknown outside exposure is not zero; full-financial-situation claims are withheld.</x:v>
      </x:c>
      <x:c r="G46" s="17" t="str">
        <x:v>Specified - not implemented</x:v>
      </x:c>
      <x:c r="H46" s="17" t="str">
        <x:v>AT042</x:v>
      </x:c>
    </x:row>
    <x:row r="47" ht="78" customHeight="1">
      <x:c r="A47" s="17" t="str">
        <x:v>R043</x:v>
      </x:c>
      <x:c r="B47" s="17" t="str">
        <x:v>Q43</x:v>
      </x:c>
      <x:c r="C47" s="17" t="str">
        <x:v>portfolio</x:v>
      </x:c>
      <x:c r="D47" s="17" t="str">
        <x:v>Release required</x:v>
      </x:c>
      <x:c r="E47" s="17" t="str">
        <x:v>Multiple accounts/currencies with account-specific spendability and consolidated risk.</x:v>
      </x:c>
      <x:c r="F47" s="17" t="str">
        <x:v>Cash in another account/currency cannot fund a proposal without an explicit prerequisite.</x:v>
      </x:c>
      <x:c r="G47" s="17" t="str">
        <x:v>Specified - not implemented</x:v>
      </x:c>
      <x:c r="H47" s="17" t="str">
        <x:v>AT043</x:v>
      </x:c>
    </x:row>
    <x:row r="48" ht="78" customHeight="1">
      <x:c r="A48" s="17" t="str">
        <x:v>R044</x:v>
      </x:c>
      <x:c r="B48" s="17" t="str">
        <x:v>Q44</x:v>
      </x:c>
      <x:c r="C48" s="17" t="str">
        <x:v>risk</x:v>
      </x:c>
      <x:c r="D48" s="17" t="str">
        <x:v>Release required</x:v>
      </x:c>
      <x:c r="E48" s="17" t="str">
        <x:v>Stock/ETF proposals cash-funded long-only, nonleveraged/noninverse; approved options remain.</x:v>
      </x:c>
      <x:c r="F48" s="17" t="str">
        <x:v>Short/leveraged discovery cannot become a new action; existing such positions still contribute known exposure.</x:v>
      </x:c>
      <x:c r="G48" s="17" t="str">
        <x:v>Specified - not implemented</x:v>
      </x:c>
      <x:c r="H48" s="17" t="str">
        <x:v>AT044</x:v>
      </x:c>
    </x:row>
    <x:row r="49" ht="78" customHeight="1">
      <x:c r="A49" s="17" t="str">
        <x:v>R045</x:v>
      </x:c>
      <x:c r="B49" s="17" t="str">
        <x:v>Q45</x:v>
      </x:c>
      <x:c r="C49" s="17" t="str">
        <x:v>evidence</x:v>
      </x:c>
      <x:c r="D49" s="17" t="str">
        <x:v>Release required</x:v>
      </x:c>
      <x:c r="E49" s="17" t="str">
        <x:v>Primary and permitted independent sources; optional social inputs clearly distinguished from facts.</x:v>
      </x:c>
      <x:c r="F49" s="17" t="str">
        <x:v>An unverified social claim is a research lead, not corroborated evidence.</x:v>
      </x:c>
      <x:c r="G49" s="17" t="str">
        <x:v>Specified - not implemented</x:v>
      </x:c>
      <x:c r="H49" s="17" t="str">
        <x:v>AT045</x:v>
      </x:c>
    </x:row>
    <x:row r="50" ht="78" customHeight="1">
      <x:c r="A50" s="17" t="str">
        <x:v>R046</x:v>
      </x:c>
      <x:c r="B50" s="17" t="str">
        <x:v>Q46</x:v>
      </x:c>
      <x:c r="C50" s="17" t="str">
        <x:v>portfolio</x:v>
      </x:c>
      <x:c r="D50" s="17" t="str">
        <x:v>Release required</x:v>
      </x:c>
      <x:c r="E50" s="17" t="str">
        <x:v>Tax-relevant records and warnings, not a comprehensive tax engine or automated tax-loss harvesting.</x:v>
      </x:c>
      <x:c r="F50" s="17" t="str">
        <x:v>P&amp;L/cost basis provenance is shown without presenting it as definitive tax liability.</x:v>
      </x:c>
      <x:c r="G50" s="17" t="str">
        <x:v>Specified - not implemented</x:v>
      </x:c>
      <x:c r="H50" s="17" t="str">
        <x:v>AT046</x:v>
      </x:c>
    </x:row>
    <x:row r="51" ht="78" customHeight="1">
      <x:c r="A51" s="17" t="str">
        <x:v>R047</x:v>
      </x:c>
      <x:c r="B51" s="17" t="str">
        <x:v>Q47</x:v>
      </x:c>
      <x:c r="C51" s="17" t="str">
        <x:v>ux</x:v>
      </x:c>
      <x:c r="D51" s="17" t="str">
        <x:v>Release required</x:v>
      </x:c>
      <x:c r="E51" s="17" t="str">
        <x:v>Responsive web, in-app feed, configurable email/browser push; no native mobile/SMS launch requirement.</x:v>
      </x:c>
      <x:c r="F51" s="17" t="str">
        <x:v>Expiry-aware notifications work and self-hosting needs no proprietary notification server.</x:v>
      </x:c>
      <x:c r="G51" s="17" t="str">
        <x:v>Specified - not implemented</x:v>
      </x:c>
      <x:c r="H51" s="17" t="str">
        <x:v>AT047</x:v>
      </x:c>
    </x:row>
    <x:row r="52" ht="78" customHeight="1">
      <x:c r="A52" s="17" t="str">
        <x:v>R048</x:v>
      </x:c>
      <x:c r="B52" s="17" t="str">
        <x:v>Q48</x:v>
      </x:c>
      <x:c r="C52" s="17" t="str">
        <x:v>integrations</x:v>
      </x:c>
      <x:c r="D52" s="17" t="str">
        <x:v>Release required</x:v>
      </x:c>
      <x:c r="E52" s="17" t="str">
        <x:v>Small named set of tested read-only broker sync routes; CSV/manual fallback.</x:v>
      </x:c>
      <x:c r="F52" s="17" t="str">
        <x:v>Each connector passes fields, pagination, reconnect and reconciliation tests, not only login.</x:v>
      </x:c>
      <x:c r="G52" s="17" t="str">
        <x:v>Specified - not implemented</x:v>
      </x:c>
      <x:c r="H52" s="17" t="str">
        <x:v>AT048</x:v>
      </x:c>
    </x:row>
    <x:row r="53" ht="78" customHeight="1">
      <x:c r="A53" s="17" t="str">
        <x:v>R049</x:v>
      </x:c>
      <x:c r="B53" s="17" t="str">
        <x:v>Q49</x:v>
      </x:c>
      <x:c r="C53" s="17" t="str">
        <x:v>risk</x:v>
      </x:c>
      <x:c r="D53" s="17" t="str">
        <x:v>Release required</x:v>
      </x:c>
      <x:c r="E53" s="17" t="str">
        <x:v>Proposals form jointly feasible sets with explicit alternatives and internal capital commitments.</x:v>
      </x:c>
      <x:c r="F53" s="17" t="str">
        <x:v>Two USD4000 proposals cannot jointly consume USD5000; unexecuted sales do not create cash.</x:v>
      </x:c>
      <x:c r="G53" s="17" t="str">
        <x:v>Specified - not implemented</x:v>
      </x:c>
      <x:c r="H53" s="17" t="str">
        <x:v>AT049</x:v>
      </x:c>
    </x:row>
    <x:row r="54" ht="78" customHeight="1">
      <x:c r="A54" s="17" t="str">
        <x:v>R050</x:v>
      </x:c>
      <x:c r="B54" s="17" t="str">
        <x:v>Q50</x:v>
      </x:c>
      <x:c r="C54" s="17" t="str">
        <x:v>strategies</x:v>
      </x:c>
      <x:c r="D54" s="17" t="str">
        <x:v>Release required</x:v>
      </x:c>
      <x:c r="E54" s="17" t="str">
        <x:v>Initial actionable intraday proposals are regular-session only; research may run outside session.</x:v>
      </x:c>
      <x:c r="F54" s="17" t="str">
        <x:v>Premarket event can create conditional research but must be refreshed before activation.</x:v>
      </x:c>
      <x:c r="G54" s="17" t="str">
        <x:v>Specified - not implemented</x:v>
      </x:c>
      <x:c r="H54" s="17" t="str">
        <x:v>AT050</x:v>
      </x:c>
    </x:row>
    <x:row r="55" ht="78" customHeight="1">
      <x:c r="A55" s="17" t="str">
        <x:v>R051</x:v>
      </x:c>
      <x:c r="B55" s="17" t="str">
        <x:v>Q51</x:v>
      </x:c>
      <x:c r="C55" s="17" t="str">
        <x:v>privacy</x:v>
      </x:c>
      <x:c r="D55" s="17" t="str">
        <x:v>Release required</x:v>
      </x:c>
      <x:c r="E55" s="17" t="str">
        <x:v>Hosted/self-hosted migration is supported at first release.</x:v>
      </x:c>
      <x:c r="F55" s="17" t="str">
        <x:v>Compatible financial/policy/private-learning state transfers; credentials and executable imports do not activate silently.</x:v>
      </x:c>
      <x:c r="G55" s="17" t="str">
        <x:v>Specified - not implemented</x:v>
      </x:c>
      <x:c r="H55" s="17" t="str">
        <x:v>AT051</x:v>
      </x:c>
    </x:row>
    <x:row r="56" ht="78" customHeight="1">
      <x:c r="A56" s="17" t="str">
        <x:v>R052</x:v>
      </x:c>
      <x:c r="B56" s="17" t="str">
        <x:v>Q52</x:v>
      </x:c>
      <x:c r="C56" s="17" t="str">
        <x:v>privacy</x:v>
      </x:c>
      <x:c r="D56" s="17" t="str">
        <x:v>Release required</x:v>
      </x:c>
      <x:c r="E56" s="17" t="str">
        <x:v>Tamper-evident retained history, not indefinite private retention; explicit correction/deletion/backups.</x:v>
      </x:c>
      <x:c r="F56" s="17" t="str">
        <x:v>Deleted evidence makes replay limitations visible and restoration reapplies tombstones.</x:v>
      </x:c>
      <x:c r="G56" s="17" t="str">
        <x:v>Specified - not implemented</x:v>
      </x:c>
      <x:c r="H56" s="17" t="str">
        <x:v>AT052</x:v>
      </x:c>
    </x:row>
    <x:row r="57" ht="78" customHeight="1">
      <x:c r="A57" s="17" t="str">
        <x:v>R053</x:v>
      </x:c>
      <x:c r="B57" s="17" t="str">
        <x:v>Q53</x:v>
      </x:c>
      <x:c r="C57" s="17" t="str">
        <x:v>integrations</x:v>
      </x:c>
      <x:c r="D57" s="17" t="str">
        <x:v>Release required</x:v>
      </x:c>
      <x:c r="E57" s="17" t="str">
        <x:v>CIBC import, Questrade/IBKR read-only sync, plus Wealthsimple sync and Yahoo CSV interoperability.</x:v>
      </x:c>
      <x:c r="F57" s="17" t="str">
        <x:v>Named commitments each have deployment-specific qualification evidence; no silent downgrade to generic CSV.</x:v>
      </x:c>
      <x:c r="G57" s="17" t="str">
        <x:v>Specified - not implemented</x:v>
      </x:c>
      <x:c r="H57" s="17" t="str">
        <x:v>AT053</x:v>
      </x:c>
    </x:row>
    <x:row r="58" ht="78" customHeight="1">
      <x:c r="A58" s="17" t="str">
        <x:v>R054</x:v>
      </x:c>
      <x:c r="B58" s="17" t="str">
        <x:v>Q54</x:v>
      </x:c>
      <x:c r="C58" s="17" t="str">
        <x:v>operations</x:v>
      </x:c>
      <x:c r="D58" s="17" t="str">
        <x:v>Release required</x:v>
      </x:c>
      <x:c r="E58" s="17" t="str">
        <x:v>Reference scale: 10 accounts, 250 instruments, 100000 records/user; hosted 100 users and 20 concurrent sessions.</x:v>
      </x:c>
      <x:c r="F58" s="17" t="str">
        <x:v>Combined workload tests retain background monitoring for all users and distinguish provider stream limits.</x:v>
      </x:c>
      <x:c r="G58" s="17" t="str">
        <x:v>Specified - not implemented</x:v>
      </x:c>
      <x:c r="H58" s="17" t="str">
        <x:v>AT054</x:v>
      </x:c>
    </x:row>
    <x:row r="59" ht="78" customHeight="1">
      <x:c r="A59" s="17" t="str">
        <x:v>R055</x:v>
      </x:c>
      <x:c r="B59" s="17" t="str">
        <x:v>Q55</x:v>
      </x:c>
      <x:c r="C59" s="17" t="str">
        <x:v>product</x:v>
      </x:c>
      <x:c r="D59" s="17" t="str">
        <x:v>Release required</x:v>
      </x:c>
      <x:c r="E59" s="17" t="str">
        <x:v>Managed service pricing plus user-connected providers; independent self-hosted core and unbiased rankings.</x:v>
      </x:c>
      <x:c r="F59" s="17" t="str">
        <x:v>Billing/affiliate data cannot influence security rankings; cancelling hosting supports lawful export.</x:v>
      </x:c>
      <x:c r="G59" s="17" t="str">
        <x:v>Specified - not implemented</x:v>
      </x:c>
      <x:c r="H59" s="17" t="str">
        <x:v>AT055</x:v>
      </x:c>
    </x:row>
    <x:row r="60" ht="78" customHeight="1">
      <x:c r="A60" s="17" t="str">
        <x:v>R056</x:v>
      </x:c>
      <x:c r="B60" s="17" t="str">
        <x:v>Q56</x:v>
      </x:c>
      <x:c r="C60" s="17" t="str">
        <x:v>ux</x:v>
      </x:c>
      <x:c r="D60" s="17" t="str">
        <x:v>Release required</x:v>
      </x:c>
      <x:c r="E60" s="17" t="str">
        <x:v>Dashboard-led portfolio/decision/research/governance workspaces; chat uses same verified state.</x:v>
      </x:c>
      <x:c r="F60" s="17" t="str">
        <x:v>Chat cannot emit an actionable recommendation outside the governed proposal pipeline.</x:v>
      </x:c>
      <x:c r="G60" s="17" t="str">
        <x:v>Specified - not implemented</x:v>
      </x:c>
      <x:c r="H60" s="17" t="str">
        <x:v>AT056</x:v>
      </x:c>
    </x:row>
    <x:row r="61" ht="78" customHeight="1">
      <x:c r="A61" s="17" t="str">
        <x:v>R057</x:v>
      </x:c>
      <x:c r="B61" s="17" t="str">
        <x:v>Q57</x:v>
      </x:c>
      <x:c r="C61" s="17" t="str">
        <x:v>integrations</x:v>
      </x:c>
      <x:c r="D61" s="17" t="str">
        <x:v>Release required</x:v>
      </x:c>
      <x:c r="E61" s="17" t="str">
        <x:v>Yahoo tested CSV portfolio/watchlist import and compatible export; no auto-sync/data-adapter launch promise.</x:v>
      </x:c>
      <x:c r="F61" s="17" t="str">
        <x:v>Round-trip differences are shown and Yahoo watchlists never imply owned shares.</x:v>
      </x:c>
      <x:c r="G61" s="17" t="str">
        <x:v>Specified - not implemented</x:v>
      </x:c>
      <x:c r="H61" s="17" t="str">
        <x:v>AT057</x:v>
      </x:c>
    </x:row>
    <x:row r="62" ht="78" customHeight="1">
      <x:c r="A62" s="17" t="str">
        <x:v>R058</x:v>
      </x:c>
      <x:c r="B62" s="17" t="str">
        <x:v>Q58</x:v>
      </x:c>
      <x:c r="C62" s="17" t="str">
        <x:v>portfolio</x:v>
      </x:c>
      <x:c r="D62" s="17" t="str">
        <x:v>Release required</x:v>
      </x:c>
      <x:c r="E62" s="17" t="str">
        <x:v>Underlying accounts and data sources are separate; reconcile overlapping views without duplication.</x:v>
      </x:c>
      <x:c r="F62" s="17" t="str">
        <x:v>A broker position mirrored in Yahoo totals once; two real accounts remain distinct.</x:v>
      </x:c>
      <x:c r="G62" s="17" t="str">
        <x:v>Specified - not implemented</x:v>
      </x:c>
      <x:c r="H62" s="17" t="str">
        <x:v>AT058</x:v>
      </x:c>
    </x:row>
    <x:row r="63" ht="78" customHeight="1">
      <x:c r="A63" s="17" t="str">
        <x:v>R059</x:v>
      </x:c>
      <x:c r="B63" s="17" t="str">
        <x:v>Q59</x:v>
      </x:c>
      <x:c r="C63" s="17" t="str">
        <x:v>strategies</x:v>
      </x:c>
      <x:c r="D63" s="17" t="str">
        <x:v>Release required</x:v>
      </x:c>
      <x:c r="E63" s="17" t="str">
        <x:v>All six versioned stock/ETF strategy families required; qualification status separate from catalogue inclusion.</x:v>
      </x:c>
      <x:c r="F63" s="17" t="str">
        <x:v>Each family has documented logic/evaluation; failed variants remain research-only without edge claims.</x:v>
      </x:c>
      <x:c r="G63" s="17" t="str">
        <x:v>Specified - not implemented</x:v>
      </x:c>
      <x:c r="H63" s="17" t="str">
        <x:v>AT059</x:v>
      </x:c>
    </x:row>
    <x:row r="64" ht="78" customHeight="1">
      <x:c r="A64" s="17" t="str">
        <x:v>R060</x:v>
      </x:c>
      <x:c r="B64" s="17" t="str">
        <x:v>Q60</x:v>
      </x:c>
      <x:c r="C64" s="17" t="str">
        <x:v>risk</x:v>
      </x:c>
      <x:c r="D64" s="17" t="str">
        <x:v>Release required</x:v>
      </x:c>
      <x:c r="E64" s="17" t="str">
        <x:v>Conservative liquidity/spread/data/status-screened universe; optional speculative research cannot bypass gates.</x:v>
      </x:c>
      <x:c r="F64" s="17" t="str">
        <x:v>OTC/penny/failed checks excluded from default actionable discovery while existing exposure remains tracked.</x:v>
      </x:c>
      <x:c r="G64" s="17" t="str">
        <x:v>Specified - not implemented</x:v>
      </x:c>
      <x:c r="H64" s="17" t="str">
        <x:v>AT060</x:v>
      </x:c>
    </x:row>
    <x:row r="65" ht="78" customHeight="1">
      <x:c r="A65" s="17" t="str">
        <x:v>R061</x:v>
      </x:c>
      <x:c r="B65" s="17" t="str">
        <x:v>Q61</x:v>
      </x:c>
      <x:c r="C65" s="17" t="str">
        <x:v>strategies</x:v>
      </x:c>
      <x:c r="D65" s="17" t="str">
        <x:v>Release required</x:v>
      </x:c>
      <x:c r="E65" s="17" t="str">
        <x:v>Bounded versioned strategy configuration, not unrestricted hosted arbitrary-code or visual strategy builder.</x:v>
      </x:c>
      <x:c r="F65" s="17" t="str">
        <x:v>Configuration changes enter relevant validation/adoption; developer code extension remains controlled.</x:v>
      </x:c>
      <x:c r="G65" s="17" t="str">
        <x:v>Specified - not implemented</x:v>
      </x:c>
      <x:c r="H65" s="17" t="str">
        <x:v>AT061</x:v>
      </x:c>
    </x:row>
    <x:row r="66" ht="78" customHeight="1">
      <x:c r="A66" s="17" t="str">
        <x:v>R062</x:v>
      </x:c>
      <x:c r="B66" s="17" t="str">
        <x:v>Q62</x:v>
      </x:c>
      <x:c r="C66" s="17" t="str">
        <x:v>strategies</x:v>
      </x:c>
      <x:c r="D66" s="17" t="str">
        <x:v>Release required</x:v>
      </x:c>
      <x:c r="E66" s="17" t="str">
        <x:v>Free baseline supports portfolio-specific rebalancing plus a qualified non-intraday long-only strategy.</x:v>
      </x:c>
      <x:c r="F66" s="17" t="str">
        <x:v>End-to-end free positive and abstention journeys pass, not only dashboards/alerts.</x:v>
      </x:c>
      <x:c r="G66" s="17" t="str">
        <x:v>Specified - not implemented</x:v>
      </x:c>
      <x:c r="H66" s="17" t="str">
        <x:v>AT062</x:v>
      </x:c>
    </x:row>
    <x:row r="67" ht="78" customHeight="1">
      <x:c r="A67" s="17" t="str">
        <x:v>R063</x:v>
      </x:c>
      <x:c r="B67" s="17" t="str">
        <x:v>Q63</x:v>
      </x:c>
      <x:c r="C67" s="17" t="str">
        <x:v>simulation</x:v>
      </x:c>
      <x:c r="D67" s="17" t="str">
        <x:v>Release required</x:v>
      </x:c>
      <x:c r="E67" s="17" t="str">
        <x:v>User-facing application-managed virtual portfolios and optional approved-policy shadow tracking.</x:v>
      </x:c>
      <x:c r="F67" s="17" t="str">
        <x:v>Simulation never changes real cash and clearly labels fills, costs, assumptions and unsupported cases.</x:v>
      </x:c>
      <x:c r="G67" s="17" t="str">
        <x:v>Specified - not implemented</x:v>
      </x:c>
      <x:c r="H67" s="17" t="str">
        <x:v>AT063</x:v>
      </x:c>
    </x:row>
    <x:row r="68" ht="78" customHeight="1">
      <x:c r="A68" s="17" t="str">
        <x:v>R064</x:v>
      </x:c>
      <x:c r="B68" s="17" t="str">
        <x:v>Q64</x:v>
      </x:c>
      <x:c r="C68" s="17" t="str">
        <x:v>analytics</x:v>
      </x:c>
      <x:c r="D68" s="17" t="str">
        <x:v>Release required</x:v>
      </x:c>
      <x:c r="E68" s="17" t="str">
        <x:v>Versioned goal-appropriate/cash-flow-matched benchmarks and separate actual/simulated/recommendation scorecards.</x:v>
      </x:c>
      <x:c r="F68" s="17" t="str">
        <x:v>No fabricated historical cash flows; TWR/MWR calculated only with sufficient inputs.</x:v>
      </x:c>
      <x:c r="G68" s="17" t="str">
        <x:v>Specified - not implemented</x:v>
      </x:c>
      <x:c r="H68" s="17" t="str">
        <x:v>AT064</x:v>
      </x:c>
    </x:row>
    <x:row r="69" ht="78" customHeight="1">
      <x:c r="A69" s="17" t="str">
        <x:v>R065</x:v>
      </x:c>
      <x:c r="B69" s="17" t="str">
        <x:v>Q65</x:v>
      </x:c>
      <x:c r="C69" s="17" t="str">
        <x:v>research</x:v>
      </x:c>
      <x:c r="D69" s="17" t="str">
        <x:v>Release required</x:v>
      </x:c>
      <x:c r="E69" s="17" t="str">
        <x:v>Separate operational qualification, investment evidence and user eligibility; family-specific actionable-use gates.</x:v>
      </x:c>
      <x:c r="F69" s="17" t="str">
        <x:v>Limited investment evidence allowed only under predeclared human-approved policy, never an ad-hoc exception.</x:v>
      </x:c>
      <x:c r="G69" s="17" t="str">
        <x:v>Specified - not implemented</x:v>
      </x:c>
      <x:c r="H69" s="17" t="str">
        <x:v>AT065</x:v>
      </x:c>
    </x:row>
    <x:row r="70" ht="78" customHeight="1">
      <x:c r="A70" s="17" t="str">
        <x:v>R066</x:v>
      </x:c>
      <x:c r="B70" s="17" t="str">
        <x:v>Q66</x:v>
      </x:c>
      <x:c r="C70" s="17" t="str">
        <x:v>data</x:v>
      </x:c>
      <x:c r="D70" s="17" t="str">
        <x:v>Release required</x:v>
      </x:c>
      <x:c r="E70" s="17" t="str">
        <x:v>Versioned feed specifications and qualified continuity/reinitialization for provider changes.</x:v>
      </x:c>
      <x:c r="F70" s="17" t="str">
        <x:v>A mid-session IEX/SIP change cannot continue the old range silently; recovered signals are retrospective.</x:v>
      </x:c>
      <x:c r="G70" s="17" t="str">
        <x:v>Specified - not implemented</x:v>
      </x:c>
      <x:c r="H70" s="17" t="str">
        <x:v>AT066</x:v>
      </x:c>
    </x:row>
    <x:row r="71" ht="78" customHeight="1">
      <x:c r="A71" s="17" t="str">
        <x:v>R067</x:v>
      </x:c>
      <x:c r="B71" s="17" t="str">
        <x:v>Q67</x:v>
      </x:c>
      <x:c r="C71" s="17" t="str">
        <x:v>operations</x:v>
      </x:c>
      <x:c r="D71" s="17" t="str">
        <x:v>Release required</x:v>
      </x:c>
      <x:c r="E71" s="17" t="str">
        <x:v>Targets: 95 percent factual events within 5s of receipt; rules-only within 15s; AI intraday deadline at most 60s or earlier expiry.</x:v>
      </x:c>
      <x:c r="F71" s="17" t="str">
        <x:v>Independent event-age and remaining-window checks; misses count, retries cannot reset trigger, delivery measured separately.</x:v>
      </x:c>
      <x:c r="G71" s="17" t="str">
        <x:v>Specified - not implemented</x:v>
      </x:c>
      <x:c r="H71" s="17" t="str">
        <x:v>AT067</x:v>
      </x:c>
    </x:row>
    <x:row r="72" ht="78" customHeight="1">
      <x:c r="A72" s="17" t="str">
        <x:v>R068</x:v>
      </x:c>
      <x:c r="B72" s="17" t="str">
        <x:v>Q68</x:v>
      </x:c>
      <x:c r="C72" s="17" t="str">
        <x:v>risk</x:v>
      </x:c>
      <x:c r="D72" s="17" t="str">
        <x:v>Release required</x:v>
      </x:c>
      <x:c r="E72" s="17" t="str">
        <x:v>Explicit approved numerical account/allocation/concentration/planned-loss/scenario limits for sizing.</x:v>
      </x:c>
      <x:c r="F72" s="17" t="str">
        <x:v>Denominators and currencies displayed; missing mandatory limits block sizing; stops are not loss guarantees.</x:v>
      </x:c>
      <x:c r="G72" s="17" t="str">
        <x:v>Specified - not implemented</x:v>
      </x:c>
      <x:c r="H72" s="17" t="str">
        <x:v>AT068</x:v>
      </x:c>
    </x:row>
    <x:row r="73" ht="78" customHeight="1">
      <x:c r="A73" s="17" t="str">
        <x:v>R069</x:v>
      </x:c>
      <x:c r="B73" s="17" t="str">
        <x:v>Q69</x:v>
      </x:c>
      <x:c r="C73" s="17" t="str">
        <x:v>risk</x:v>
      </x:c>
      <x:c r="D73" s="17" t="str">
        <x:v>Release required</x:v>
      </x:c>
      <x:c r="E73" s="17" t="str">
        <x:v>Scoped loss/drawdown triggers pause new risk; monitoring and checked risk reduction continue; controlled resumption.</x:v>
      </x:c>
      <x:c r="F73" s="17" t="str">
        <x:v>Deposits cannot erase breaches; material resume needs reconciled state and explicit acknowledgement.</x:v>
      </x:c>
      <x:c r="G73" s="17" t="str">
        <x:v>Specified - not implemented</x:v>
      </x:c>
      <x:c r="H73" s="17" t="str">
        <x:v>AT069</x:v>
      </x:c>
    </x:row>
    <x:row r="74" ht="78" customHeight="1">
      <x:c r="A74" s="17" t="str">
        <x:v>R070</x:v>
      </x:c>
      <x:c r="B74" s="17" t="str">
        <x:v>Q70</x:v>
      </x:c>
      <x:c r="C74" s="17" t="str">
        <x:v>architecture</x:v>
      </x:c>
      <x:c r="D74" s="17" t="str">
        <x:v>Release required</x:v>
      </x:c>
      <x:c r="E74" s="17" t="str">
        <x:v>Typed Python core, TypeScript/React, PostgreSQL, analytical file/object storage and durable jobs; three authority paths.</x:v>
      </x:c>
      <x:c r="F74" s="17" t="str">
        <x:v>Live, experiment and release operations share contracts but cannot share unrestricted authority.</x:v>
      </x:c>
      <x:c r="G74" s="17" t="str">
        <x:v>Specified - not implemented</x:v>
      </x:c>
      <x:c r="H74" s="17" t="str">
        <x:v>AT070</x:v>
      </x:c>
    </x:row>
    <x:row r="75" ht="78" customHeight="1">
      <x:c r="A75" s="17" t="str">
        <x:v>R071</x:v>
      </x:c>
      <x:c r="B75" s="17" t="str">
        <x:v>Q71</x:v>
      </x:c>
      <x:c r="C75" s="17" t="str">
        <x:v>portfolio</x:v>
      </x:c>
      <x:c r="D75" s="17" t="str">
        <x:v>Release required</x:v>
      </x:c>
      <x:c r="E75" s="17" t="str">
        <x:v>Reconciled decimal journal with explicit effective/publication/receipt/decision times; one calculation contract.</x:v>
      </x:c>
      <x:c r="F75" s="17" t="str">
        <x:v>Source corrections update current reconstruction without rewriting historical knowledge.</x:v>
      </x:c>
      <x:c r="G75" s="17" t="str">
        <x:v>Specified - not implemented</x:v>
      </x:c>
      <x:c r="H75" s="17" t="str">
        <x:v>AT071</x:v>
      </x:c>
    </x:row>
    <x:row r="76" ht="78" customHeight="1">
      <x:c r="A76" s="17" t="str">
        <x:v>R072</x:v>
      </x:c>
      <x:c r="B76" s="17" t="str">
        <x:v>Q72</x:v>
      </x:c>
      <x:c r="C76" s="17" t="str">
        <x:v>strategies</x:v>
      </x:c>
      <x:c r="D76" s="17" t="str">
        <x:v>Release required</x:v>
      </x:c>
      <x:c r="E76" s="17" t="str">
        <x:v>Interpretable six-family starting implementations; 6-month/200-day momentum and 15-minute ORB are unqualified research defaults.</x:v>
      </x:c>
      <x:c r="F76" s="17" t="str">
        <x:v>Parameter choices are labelled candidates and cannot auto-enable live strategies.</x:v>
      </x:c>
      <x:c r="G76" s="17" t="str">
        <x:v>Specified - not implemented</x:v>
      </x:c>
      <x:c r="H76" s="17" t="str">
        <x:v>AT072</x:v>
      </x:c>
    </x:row>
    <x:row r="77" ht="78" customHeight="1">
      <x:c r="A77" s="17" t="str">
        <x:v>R073</x:v>
      </x:c>
      <x:c r="B77" s="17" t="str">
        <x:v>Q73</x:v>
      </x:c>
      <x:c r="C77" s="17" t="str">
        <x:v>integrations</x:v>
      </x:c>
      <x:c r="D77" s="17" t="str">
        <x:v>Release required</x:v>
      </x:c>
      <x:c r="E77" s="17" t="str">
        <x:v>Capability/rights/degraded-state registry; provider/entitlement changes require reassessment.</x:v>
      </x:c>
      <x:c r="F77" s="17" t="str">
        <x:v>Connected status does not imply qualified; tenant feed sharing requires rights and consent.</x:v>
      </x:c>
      <x:c r="G77" s="17" t="str">
        <x:v>Specified - not implemented</x:v>
      </x:c>
      <x:c r="H77" s="17" t="str">
        <x:v>AT073</x:v>
      </x:c>
    </x:row>
    <x:row r="78" ht="78" customHeight="1">
      <x:c r="A78" s="17" t="str">
        <x:v>R074</x:v>
      </x:c>
      <x:c r="B78" s="17" t="str">
        <x:v>Q74</x:v>
      </x:c>
      <x:c r="C78" s="17" t="str">
        <x:v>ai</x:v>
      </x:c>
      <x:c r="D78" s="17" t="str">
        <x:v>Release required</x:v>
      </x:c>
      <x:c r="E78" s="17" t="str">
        <x:v>Persisted bounded workflows, explicit model/runtime versions, no silent paid/provider fallback.</x:v>
      </x:c>
      <x:c r="F78" s="17" t="str">
        <x:v>One evaluation plus at most one permitted revision; deadline/claim checks rerun on change.</x:v>
      </x:c>
      <x:c r="G78" s="17" t="str">
        <x:v>Specified - not implemented</x:v>
      </x:c>
      <x:c r="H78" s="17" t="str">
        <x:v>AT074</x:v>
      </x:c>
    </x:row>
    <x:row r="79" ht="78" customHeight="1">
      <x:c r="A79" s="17" t="str">
        <x:v>R075</x:v>
      </x:c>
      <x:c r="B79" s="17" t="str">
        <x:v>Q75</x:v>
      </x:c>
      <x:c r="C79" s="17" t="str">
        <x:v>security</x:v>
      </x:c>
      <x:c r="D79" s="17" t="str">
        <x:v>Release required</x:v>
      </x:c>
      <x:c r="E79" s="17" t="str">
        <x:v>Read-only operation allowlists, secrets outside agents, tenant isolation including nonowner/nonbypass DB roles.</x:v>
      </x:c>
      <x:c r="F79" s="17" t="str">
        <x:v>Cross-tenant, RLS-bypass, tool mutation and secret-exfiltration tests block release.</x:v>
      </x:c>
      <x:c r="G79" s="17" t="str">
        <x:v>Specified - not implemented</x:v>
      </x:c>
      <x:c r="H79" s="17" t="str">
        <x:v>AT075</x:v>
      </x:c>
    </x:row>
    <x:row r="80" ht="78" customHeight="1">
      <x:c r="A80" s="17" t="str">
        <x:v>R076</x:v>
      </x:c>
      <x:c r="B80" s="17" t="str">
        <x:v>Q76</x:v>
      </x:c>
      <x:c r="C80" s="17" t="str">
        <x:v>improvement</x:v>
      </x:c>
      <x:c r="D80" s="17" t="str">
        <x:v>Release required</x:v>
      </x:c>
      <x:c r="E80" s="17" t="str">
        <x:v>gVisor initial Linux sandbox qualification target; full recursive scope; reviewed signed promotion and compatible rollback.</x:v>
      </x:c>
      <x:c r="F80" s="17" t="str">
        <x:v>Unsupported sandbox cannot qualify full release by dropping mandatory improvement paths.</x:v>
      </x:c>
      <x:c r="G80" s="17" t="str">
        <x:v>Specified - not implemented</x:v>
      </x:c>
      <x:c r="H80" s="17" t="str">
        <x:v>AT076</x:v>
      </x:c>
    </x:row>
    <x:row r="81" ht="78" customHeight="1">
      <x:c r="A81" s="17" t="str">
        <x:v>R077</x:v>
      </x:c>
      <x:c r="B81" s="17" t="str">
        <x:v>Q77</x:v>
      </x:c>
      <x:c r="C81" s="17" t="str">
        <x:v>operations</x:v>
      </x:c>
      <x:c r="D81" s="17" t="str">
        <x:v>Release required</x:v>
      </x:c>
      <x:c r="E81" s="17" t="str">
        <x:v>Hosted targets 99.9 percent availability, 15-minute RPO and 4-hour RTO; receipts not guarantees.</x:v>
      </x:c>
      <x:c r="F81" s="17" t="str">
        <x:v>Recovery and combined-budget tests demonstrate targets while external/end-to-end failures stay visible.</x:v>
      </x:c>
      <x:c r="G81" s="17" t="str">
        <x:v>Specified - not implemented</x:v>
      </x:c>
      <x:c r="H81" s="17" t="str">
        <x:v>AT077</x:v>
      </x:c>
    </x:row>
    <x:row r="82" ht="78" customHeight="1">
      <x:c r="A82" s="17" t="str">
        <x:v>R078</x:v>
      </x:c>
      <x:c r="B82" s="17" t="str">
        <x:v>Q78</x:v>
      </x:c>
      <x:c r="C82" s="17" t="str">
        <x:v>testing</x:v>
      </x:c>
      <x:c r="D82" s="17" t="str">
        <x:v>Release required</x:v>
      </x:c>
      <x:c r="E82" s="17" t="str">
        <x:v>End-to-end release journeys cover free mode, overlap, AI, intraday, options, risk pause, simulation, improvement, migration and isolation.</x:v>
      </x:c>
      <x:c r="F82" s="17" t="str">
        <x:v>All required journeys tied to versioned execution evidence, including negatives and failure recovery.</x:v>
      </x:c>
      <x:c r="G82" s="17" t="str">
        <x:v>Specified - not implemented</x:v>
      </x:c>
      <x:c r="H82" s="17" t="str">
        <x:v>AT078</x:v>
      </x:c>
    </x:row>
    <x:row r="83" ht="78" customHeight="1">
      <x:c r="A83" s="17" t="str">
        <x:v>R079</x:v>
      </x:c>
      <x:c r="B83" s="17" t="str">
        <x:v>Q79</x:v>
      </x:c>
      <x:c r="C83" s="17" t="str">
        <x:v>governance</x:v>
      </x:c>
      <x:c r="D83" s="17" t="str">
        <x:v>Release required</x:v>
      </x:c>
      <x:c r="E83" s="17" t="str">
        <x:v>Separate design choices from factual provider/legal/security/performance/economic gates.</x:v>
      </x:c>
      <x:c r="F83" s="17" t="str">
        <x:v>No completion claim without versioned evidence and no silent scope reduction when a gate fails.</x:v>
      </x:c>
      <x:c r="G83" s="17" t="str">
        <x:v>Specified - not implemented</x:v>
      </x:c>
      <x:c r="H83" s="17" t="str">
        <x:v>AT079</x:v>
      </x:c>
    </x:row>
    <x:row r="84" ht="78" customHeight="1">
      <x:c r="A84" s="17" t="str">
        <x:v>R080</x:v>
      </x:c>
      <x:c r="B84" s="17" t="str">
        <x:v>Q70,Q71</x:v>
      </x:c>
      <x:c r="C84" s="17" t="str">
        <x:v>architecture</x:v>
      </x:c>
      <x:c r="D84" s="17" t="str">
        <x:v>Release required</x:v>
      </x:c>
      <x:c r="E84" s="17" t="str">
        <x:v>All API monetary amounts/quantities use decimal strings; times use UTC with exchange calendar identity.</x:v>
      </x:c>
      <x:c r="F84" s="17" t="str">
        <x:v>Schema rejects binary numeric money and timestamps without offsets.</x:v>
      </x:c>
      <x:c r="G84" s="17" t="str">
        <x:v>Specified - not implemented</x:v>
      </x:c>
      <x:c r="H84" s="17" t="str">
        <x:v>AT080</x:v>
      </x:c>
    </x:row>
    <x:row r="85" ht="78" customHeight="1">
      <x:c r="A85" s="17" t="str">
        <x:v>R081</x:v>
      </x:c>
      <x:c r="B85" s="17" t="str">
        <x:v>Q58,Q71</x:v>
      </x:c>
      <x:c r="C85" s="17" t="str">
        <x:v>portfolio</x:v>
      </x:c>
      <x:c r="D85" s="17" t="str">
        <x:v>Release required</x:v>
      </x:c>
      <x:c r="E85" s="17" t="str">
        <x:v>Immutable source observations map into balanced postings or quarantined exceptions; provisional views never double-post.</x:v>
      </x:c>
      <x:c r="F85" s="17" t="str">
        <x:v>Journal balance, idempotency, correction reversal and lot/cash reconciliation fixtures pass.</x:v>
      </x:c>
      <x:c r="G85" s="17" t="str">
        <x:v>Specified - not implemented</x:v>
      </x:c>
      <x:c r="H85" s="17" t="str">
        <x:v>AT081</x:v>
      </x:c>
    </x:row>
    <x:row r="86" ht="78" customHeight="1">
      <x:c r="A86" s="17" t="str">
        <x:v>R082</x:v>
      </x:c>
      <x:c r="B86" s="17" t="str">
        <x:v>Q12,Q49,Q68</x:v>
      </x:c>
      <x:c r="C86" s="17" t="str">
        <x:v>risk</x:v>
      </x:c>
      <x:c r="D86" s="17" t="str">
        <x:v>Release required</x:v>
      </x:c>
      <x:c r="E86" s="17" t="str">
        <x:v>Final publication atomically binds policy, account and proposal-set revisions to a checked cash commitment.</x:v>
      </x:c>
      <x:c r="F86" s="17" t="str">
        <x:v>A competing account update causes re-evaluation, never time-of-check/time-of-use overspend.</x:v>
      </x:c>
      <x:c r="G86" s="17" t="str">
        <x:v>Specified - not implemented</x:v>
      </x:c>
      <x:c r="H86" s="17" t="str">
        <x:v>AT082</x:v>
      </x:c>
    </x:row>
    <x:row r="87" ht="78" customHeight="1">
      <x:c r="A87" s="17" t="str">
        <x:v>R083</x:v>
      </x:c>
      <x:c r="B87" s="17" t="str">
        <x:v>Q12,Q66,Q67</x:v>
      </x:c>
      <x:c r="C87" s="17" t="str">
        <x:v>data</x:v>
      </x:c>
      <x:c r="D87" s="17" t="str">
        <x:v>Release required</x:v>
      </x:c>
      <x:c r="E87" s="17" t="str">
        <x:v>Separate price, fundamental, calendar, broker and FX freshness policies; record event age and ingestion delay.</x:v>
      </x:c>
      <x:c r="F87" s="17" t="str">
        <x:v>Fast processing of five-minute-old broker state never labels it real-time confirmed.</x:v>
      </x:c>
      <x:c r="G87" s="17" t="str">
        <x:v>Specified - not implemented</x:v>
      </x:c>
      <x:c r="H87" s="17" t="str">
        <x:v>AT083</x:v>
      </x:c>
    </x:row>
    <x:row r="88" ht="78" customHeight="1">
      <x:c r="A88" s="17" t="str">
        <x:v>R084</x:v>
      </x:c>
      <x:c r="B88" s="17" t="str">
        <x:v>Q24,Q29,Q40,Q65</x:v>
      </x:c>
      <x:c r="C88" s="17" t="str">
        <x:v>research</x:v>
      </x:c>
      <x:c r="D88" s="17" t="str">
        <x:v>Release required</x:v>
      </x:c>
      <x:c r="E88" s="17" t="str">
        <x:v>Track all experiments, point-in-time universe membership, delistings, corporate actions, costs and test access.</x:v>
      </x:c>
      <x:c r="F88" s="17" t="str">
        <x:v>A future filing, present-day survivor list or repeated final-holdout feedback cannot qualify a strategy.</x:v>
      </x:c>
      <x:c r="G88" s="17" t="str">
        <x:v>Specified - not implemented</x:v>
      </x:c>
      <x:c r="H88" s="17" t="str">
        <x:v>AT084</x:v>
      </x:c>
    </x:row>
    <x:row r="89" ht="78" customHeight="1">
      <x:c r="A89" s="17" t="str">
        <x:v>R085</x:v>
      </x:c>
      <x:c r="B89" s="17" t="str">
        <x:v>Q19,Q20,Q74</x:v>
      </x:c>
      <x:c r="C89" s="17" t="str">
        <x:v>ai</x:v>
      </x:c>
      <x:c r="D89" s="17" t="str">
        <x:v>Release required</x:v>
      </x:c>
      <x:c r="E89" s="17" t="str">
        <x:v>Expose structured audit rationale and evidence, not require inaccessible private model chain of thought.</x:v>
      </x:c>
      <x:c r="F89" s="17" t="str">
        <x:v>A reviewer can validate claim/calc provenance without requesting hidden model reasoning.</x:v>
      </x:c>
      <x:c r="G89" s="17" t="str">
        <x:v>Specified - not implemented</x:v>
      </x:c>
      <x:c r="H89" s="17" t="str">
        <x:v>AT085</x:v>
      </x:c>
    </x:row>
    <x:row r="90" ht="78" customHeight="1">
      <x:c r="A90" s="17" t="str">
        <x:v>R086</x:v>
      </x:c>
      <x:c r="B90" s="17" t="str">
        <x:v>Q26,Q38,Q75</x:v>
      </x:c>
      <x:c r="C90" s="17" t="str">
        <x:v>security</x:v>
      </x:c>
      <x:c r="D90" s="17" t="str">
        <x:v>Release required</x:v>
      </x:c>
      <x:c r="E90" s="17" t="str">
        <x:v>Freshness/eligibility/policy/legal/release controls are enforced outside LLM contexts.</x:v>
      </x:c>
      <x:c r="F90" s="17" t="str">
        <x:v>Prompt injection asking to remove checks cannot change the final validator outcome.</x:v>
      </x:c>
      <x:c r="G90" s="17" t="str">
        <x:v>Specified - not implemented</x:v>
      </x:c>
      <x:c r="H90" s="17" t="str">
        <x:v>AT086</x:v>
      </x:c>
    </x:row>
    <x:row r="91" ht="78" customHeight="1">
      <x:c r="A91" s="17" t="str">
        <x:v>R087</x:v>
      </x:c>
      <x:c r="B91" s="17" t="str">
        <x:v>Q51,Q52,Q75</x:v>
      </x:c>
      <x:c r="C91" s="17" t="str">
        <x:v>privacy</x:v>
      </x:c>
      <x:c r="D91" s="17" t="str">
        <x:v>Release required</x:v>
      </x:c>
      <x:c r="E91" s="17" t="str">
        <x:v>Evidence-derived state is deleted or invalidated under policy; archive import is not arbitrary execution.</x:v>
      </x:c>
      <x:c r="F91" s="17" t="str">
        <x:v>Malicious archive paths, symlinks, oversized extraction and executable payloads are rejected.</x:v>
      </x:c>
      <x:c r="G91" s="17" t="str">
        <x:v>Specified - not implemented</x:v>
      </x:c>
      <x:c r="H91" s="17" t="str">
        <x:v>AT087</x:v>
      </x:c>
    </x:row>
    <x:row r="92" ht="78" customHeight="1">
      <x:c r="A92" s="17" t="str">
        <x:v>R088</x:v>
      </x:c>
      <x:c r="B92" s="17" t="str">
        <x:v>Q70,Q77</x:v>
      </x:c>
      <x:c r="C92" s="17" t="str">
        <x:v>operations</x:v>
      </x:c>
      <x:c r="D92" s="17" t="str">
        <x:v>Release required</x:v>
      </x:c>
      <x:c r="E92" s="17" t="str">
        <x:v>At-least-once delivery uses idempotent consumers, bounded leases/retries and dead-letter recovery.</x:v>
      </x:c>
      <x:c r="F92" s="17" t="str">
        <x:v>Worker crash after database commit does not duplicate holdings or send duplicate actionable alerts.</x:v>
      </x:c>
      <x:c r="G92" s="17" t="str">
        <x:v>Specified - not implemented</x:v>
      </x:c>
      <x:c r="H92" s="17" t="str">
        <x:v>AT088</x:v>
      </x:c>
    </x:row>
    <x:row r="93" ht="78" customHeight="1">
      <x:c r="A93" s="17" t="str">
        <x:v>R089</x:v>
      </x:c>
      <x:c r="B93" s="17" t="str">
        <x:v>Q17</x:v>
      </x:c>
      <x:c r="C93" s="17" t="str">
        <x:v>options</x:v>
      </x:c>
      <x:c r="D93" s="17" t="str">
        <x:v>Release required</x:v>
      </x:c>
      <x:c r="E93" s="17" t="str">
        <x:v>Option contract deliverables, adjusted multipliers, exercise style and settlement are explicit, not defaulted blindly.</x:v>
      </x:c>
      <x:c r="F93" s="17" t="str">
        <x:v>Nonstandard/unknown contracts remain represented but unsupported sizing/payoffs are blocked.</x:v>
      </x:c>
      <x:c r="G93" s="17" t="str">
        <x:v>Specified - not implemented</x:v>
      </x:c>
      <x:c r="H93" s="17" t="str">
        <x:v>AT089</x:v>
      </x:c>
    </x:row>
    <x:row r="94" ht="78" customHeight="1">
      <x:c r="A94" s="17" t="str">
        <x:v>R090</x:v>
      </x:c>
      <x:c r="B94" s="17" t="str">
        <x:v>Q64</x:v>
      </x:c>
      <x:c r="C94" s="17" t="str">
        <x:v>analytics</x:v>
      </x:c>
      <x:c r="D94" s="17" t="str">
        <x:v>Release required</x:v>
      </x:c>
      <x:c r="E94" s="17" t="str">
        <x:v>No-unique-root MWR, nonpositive equity and missing valuation intervals return explicit unavailable status.</x:v>
      </x:c>
      <x:c r="F94" s="17" t="str">
        <x:v>Return fixtures identify ambiguity rather than invent a percentage.</x:v>
      </x:c>
      <x:c r="G94" s="17" t="str">
        <x:v>Specified - not implemented</x:v>
      </x:c>
      <x:c r="H94" s="17" t="str">
        <x:v>AT090</x:v>
      </x:c>
    </x:row>
    <x:row r="95" ht="78" customHeight="1">
      <x:c r="A95" s="17" t="str">
        <x:v>R091</x:v>
      </x:c>
      <x:c r="B95" s="17" t="str">
        <x:v>Q50,Q66</x:v>
      </x:c>
      <x:c r="C95" s="17" t="str">
        <x:v>data</x:v>
      </x:c>
      <x:c r="D95" s="17" t="str">
        <x:v>Release required</x:v>
      </x:c>
      <x:c r="E95" s="17" t="str">
        <x:v>Exchange sessions include holidays, DST, early closes, auctions and halts in versioned calendars.</x:v>
      </x:c>
      <x:c r="F95" s="17" t="str">
        <x:v>ORB and expiry deadlines are session-derived rather than fixed UTC strings.</x:v>
      </x:c>
      <x:c r="G95" s="17" t="str">
        <x:v>Specified - not implemented</x:v>
      </x:c>
      <x:c r="H95" s="17" t="str">
        <x:v>AT091</x:v>
      </x:c>
    </x:row>
    <x:row r="96" ht="78" customHeight="1">
      <x:c r="A96" s="17" t="str">
        <x:v>R092</x:v>
      </x:c>
      <x:c r="B96" s="17" t="str">
        <x:v>Q30,Q37,Q38,Q76</x:v>
      </x:c>
      <x:c r="C96" s="17" t="str">
        <x:v>security</x:v>
      </x:c>
      <x:c r="D96" s="17" t="str">
        <x:v>Release required</x:v>
      </x:c>
      <x:c r="E96" s="17" t="str">
        <x:v>Public/community code and skill inputs are reviewed; the optimizer cannot replace protected gates or signing keys.</x:v>
      </x:c>
      <x:c r="F96" s="17" t="str">
        <x:v>Mutation of evaluator answer keys, final thresholds or human authorization fails integrity checks.</x:v>
      </x:c>
      <x:c r="G96" s="17" t="str">
        <x:v>Specified - not implemented</x:v>
      </x:c>
      <x:c r="H96" s="17" t="str">
        <x:v>AT092</x:v>
      </x:c>
    </x:row>
    <x:row r="97" ht="78" customHeight="1">
      <x:c r="A97" s="17" t="str">
        <x:v>R093</x:v>
      </x:c>
      <x:c r="B97" s="17" t="str">
        <x:v>Q47,Q56</x:v>
      </x:c>
      <x:c r="C97" s="17" t="str">
        <x:v>ux</x:v>
      </x:c>
      <x:c r="D97" s="17" t="str">
        <x:v>Release required</x:v>
      </x:c>
      <x:c r="E97" s="17" t="str">
        <x:v>Keyboard-accessible financial tables and text states accompany colors; screen freshness is continuously visible.</x:v>
      </x:c>
      <x:c r="F97" s="17" t="str">
        <x:v>Keyboard-only and screen-reader journeys cover policy, reconciliation and proposal expiry.</x:v>
      </x:c>
      <x:c r="G97" s="17" t="str">
        <x:v>Specified - not implemented</x:v>
      </x:c>
      <x:c r="H97" s="17" t="str">
        <x:v>AT093</x:v>
      </x:c>
    </x:row>
    <x:row r="98" ht="78" customHeight="1">
      <x:c r="A98" s="17" t="str">
        <x:v>R094</x:v>
      </x:c>
      <x:c r="B98" s="17" t="str">
        <x:v>Q21,Q73,Q79</x:v>
      </x:c>
      <x:c r="C98" s="17" t="str">
        <x:v>governance</x:v>
      </x:c>
      <x:c r="D98" s="17" t="str">
        <x:v>Release required</x:v>
      </x:c>
      <x:c r="E98" s="17" t="str">
        <x:v>All external-provider feature claims are dated and distinguish docs, permission, auth and workload evidence.</x:v>
      </x:c>
      <x:c r="F98" s="17" t="str">
        <x:v>A docs-only record cannot become commercial-qualified without required receipts.</x:v>
      </x:c>
      <x:c r="G98" s="17" t="str">
        <x:v>Specified - not implemented</x:v>
      </x:c>
      <x:c r="H98" s="17" t="str">
        <x:v>AT094</x:v>
      </x:c>
    </x:row>
    <x:row r="99" ht="78" customHeight="1">
      <x:c r="A99" s="17" t="str">
        <x:v>R095</x:v>
      </x:c>
      <x:c r="B99" s="17" t="str">
        <x:v>Q18,Q21</x:v>
      </x:c>
      <x:c r="C99" s="17" t="str">
        <x:v>ai</x:v>
      </x:c>
      <x:c r="D99" s="17" t="str">
        <x:v>Release required</x:v>
      </x:c>
      <x:c r="E99" s="17" t="str">
        <x:v>Provider use permission includes financial-advice policy, allowed tools, retention and training settings.</x:v>
      </x:c>
      <x:c r="F99" s="17" t="str">
        <x:v>Unsupported financial-use route is blocked even when OAuth or inference works.</x:v>
      </x:c>
      <x:c r="G99" s="17" t="str">
        <x:v>Specified - not implemented</x:v>
      </x:c>
      <x:c r="H99" s="17" t="str">
        <x:v>AT095</x:v>
      </x:c>
    </x:row>
    <x:row r="100" ht="78" customHeight="1">
      <x:c r="A100" s="17" t="str">
        <x:v>R096</x:v>
      </x:c>
      <x:c r="B100" s="17" t="str">
        <x:v>Q13,Q36,Q51</x:v>
      </x:c>
      <x:c r="C100" s="17" t="str">
        <x:v>operations</x:v>
      </x:c>
      <x:c r="D100" s="17" t="str">
        <x:v>Release required</x:v>
      </x:c>
      <x:c r="E100" s="17" t="str">
        <x:v>Self-hosted proof uses operator-controlled backup keys and no embedded universal service credentials.</x:v>
      </x:c>
      <x:c r="F100" s="17" t="str">
        <x:v>Install and restore work without project-vendor account or secret bootstrap call.</x:v>
      </x:c>
      <x:c r="G100" s="17" t="str">
        <x:v>Specified - not implemented</x:v>
      </x:c>
      <x:c r="H100" s="17" t="str">
        <x:v>AT096</x:v>
      </x:c>
    </x:row>
    <x:row r="101" ht="78" customHeight="1">
      <x:c r="A101" s="17" t="str">
        <x:v>R097</x:v>
      </x:c>
      <x:c r="B101" s="17" t="str">
        <x:v>Q1,Q13</x:v>
      </x:c>
      <x:c r="C101" s="17" t="str">
        <x:v>product</x:v>
      </x:c>
      <x:c r="D101" s="17" t="str">
        <x:v>Release required</x:v>
      </x:c>
      <x:c r="E101" s="17" t="str">
        <x:v>Repository branding and production domain remain owner-configurable; no invented identity is normative.</x:v>
      </x:c>
      <x:c r="F101" s="17" t="str">
        <x:v>Brand replacement changes metadata only, not contracts or workflow semantics.</x:v>
      </x:c>
      <x:c r="G101" s="17" t="str">
        <x:v>Specified - not implemented</x:v>
      </x:c>
      <x:c r="H101" s="17" t="str">
        <x:v>AT097</x:v>
      </x:c>
    </x:row>
    <x:row r="102" ht="78" customHeight="1">
      <x:c r="A102" s="17" t="str">
        <x:v>R098</x:v>
      </x:c>
      <x:c r="B102" s="17" t="str">
        <x:v>Q63,Q64</x:v>
      </x:c>
      <x:c r="C102" s="17" t="str">
        <x:v>simulation</x:v>
      </x:c>
      <x:c r="D102" s="17" t="str">
        <x:v>Release required</x:v>
      </x:c>
      <x:c r="E102" s="17" t="str">
        <x:v>A simulated fill must occur after modeled submission and under a declared available-data convention.</x:v>
      </x:c>
      <x:c r="F102" s="17" t="str">
        <x:v>Same-bar ambiguity resolves conservatively or as indeterminate, never automatically best-case.</x:v>
      </x:c>
      <x:c r="G102" s="17" t="str">
        <x:v>Specified - not implemented</x:v>
      </x:c>
      <x:c r="H102" s="17" t="str">
        <x:v>AT098</x:v>
      </x:c>
    </x:row>
    <x:row r="103" ht="78" customHeight="1">
      <x:c r="A103" s="17" t="str">
        <x:v>R099</x:v>
      </x:c>
      <x:c r="B103" s="17" t="str">
        <x:v>Q30,Q34,Q65</x:v>
      </x:c>
      <x:c r="C103" s="17" t="str">
        <x:v>governance</x:v>
      </x:c>
      <x:c r="D103" s="17" t="str">
        <x:v>Release required</x:v>
      </x:c>
      <x:c r="E103" s="17" t="str">
        <x:v>Runtime approvals are typed by maintainer release, operator install and user strategy adoption; planning delegation is not runtime consent.</x:v>
      </x:c>
      <x:c r="F103" s="17" t="str">
        <x:v>A conversational yes cannot satisfy a production promotion or investment-policy signature.</x:v>
      </x:c>
      <x:c r="G103" s="17" t="str">
        <x:v>Specified - not implemented</x:v>
      </x:c>
      <x:c r="H103" s="17" t="str">
        <x:v>AT099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2078770f4054b6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1" hidden="0" customWidth="1"/>
    <x:col min="3" max="3" width="40" hidden="0" customWidth="1"/>
    <x:col min="4" max="4" width="57" hidden="0" customWidth="1"/>
    <x:col min="5" max="5" width="18" hidden="0" customWidth="1"/>
    <x:col min="6" max="6" width="34" hidden="0" customWidth="1"/>
    <x:col min="7" max="7" width="27" hidden="0" customWidth="1"/>
    <x:col min="8" max="8" width="15" hidden="0" customWidth="1"/>
  </x:cols>
  <x:sheetData>
    <x:row r="1" ht="32" customHeight="1">
      <x:c r="A1" s="3" t="str">
        <x:v>RELEASE EVIDENCE GATES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All gates begin unverified. Passing artifact checks does not clear product, legal, provider, quant, security or operational gates.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Gate</x:v>
      </x:c>
      <x:c r="B4" s="12" t="str">
        <x:v>Domain</x:v>
      </x:c>
      <x:c r="C4" s="12" t="str">
        <x:v>Gate definition</x:v>
      </x:c>
      <x:c r="D4" s="12" t="str">
        <x:v>Required evidence</x:v>
      </x:c>
      <x:c r="E4" s="12" t="str">
        <x:v>Status</x:v>
      </x:c>
      <x:c r="F4" s="12" t="str">
        <x:v>Evidence receipt</x:v>
      </x:c>
      <x:c r="G4" s="12" t="str">
        <x:v>Owner</x:v>
      </x:c>
      <x:c r="H4" s="12" t="str">
        <x:v>Release blocking</x:v>
      </x:c>
    </x:row>
    <x:row r="5" ht="78" customHeight="1">
      <x:c r="A5" s="17" t="str">
        <x:v>G01</x:v>
      </x:c>
      <x:c r="B5" s="17" t="str">
        <x:v>Architecture</x:v>
      </x:c>
      <x:c r="C5" s="17" t="str">
        <x:v>Independent hosted and self-hosted core</x:v>
      </x:c>
      <x:c r="D5" s="17" t="str">
        <x:v>Clean-install receipts for both profiles, no proprietary core dependency, Apache/dependency inventory</x:v>
      </x:c>
      <x:c r="E5" s="20" t="str">
        <x:v>Not verified</x:v>
      </x:c>
      <x:c r="F5" s="17" t="str"/>
      <x:c r="G5" s="17" t="str">
        <x:v>Architecture lead</x:v>
      </x:c>
      <x:c r="H5" s="17" t="str">
        <x:v>Yes</x:v>
      </x:c>
    </x:row>
    <x:row r="6" ht="78" customHeight="1">
      <x:c r="A6" s="17" t="str">
        <x:v>G02</x:v>
      </x:c>
      <x:c r="B6" s="17" t="str">
        <x:v>Data</x:v>
      </x:c>
      <x:c r="C6" s="17" t="str">
        <x:v>Free-data usefulness and rights</x:v>
      </x:c>
      <x:c r="D6" s="17" t="str">
        <x:v>Permitted use confirmation plus actual quota/coverage/freshness tests and free end-to-end actionable/abstention workflow</x:v>
      </x:c>
      <x:c r="E6" s="20" t="str">
        <x:v>Not verified</x:v>
      </x:c>
      <x:c r="F6" s="17" t="str"/>
      <x:c r="G6" s="17" t="str">
        <x:v>Data lead</x:v>
      </x:c>
      <x:c r="H6" s="17" t="str">
        <x:v>Yes</x:v>
      </x:c>
    </x:row>
    <x:row r="7" ht="78" customHeight="1">
      <x:c r="A7" s="17" t="str">
        <x:v>G03</x:v>
      </x:c>
      <x:c r="B7" s="17" t="str">
        <x:v>Integrations</x:v>
      </x:c>
      <x:c r="C7" s="17" t="str">
        <x:v>Named brokerage and Yahoo/CIBC compatibility</x:v>
      </x:c>
      <x:c r="D7" s="17" t="str">
        <x:v>Deployment-specific auth/field/reconnect/reconciliation/round-trip results for every required integration</x:v>
      </x:c>
      <x:c r="E7" s="20" t="str">
        <x:v>Not verified</x:v>
      </x:c>
      <x:c r="F7" s="17" t="str"/>
      <x:c r="G7" s="17" t="str">
        <x:v>Integrations lead</x:v>
      </x:c>
      <x:c r="H7" s="17" t="str">
        <x:v>Yes</x:v>
      </x:c>
    </x:row>
    <x:row r="8" ht="78" customHeight="1">
      <x:c r="A8" s="17" t="str">
        <x:v>G04</x:v>
      </x:c>
      <x:c r="B8" s="17" t="str">
        <x:v>Compliance</x:v>
      </x:c>
      <x:c r="C8" s="17" t="str">
        <x:v>Canada and US commercial authority</x:v>
      </x:c>
      <x:c r="D8" s="17" t="str">
        <x:v>Qualified product-specific jurisdiction/registration/exemption/privacy/marketing review and required approvals</x:v>
      </x:c>
      <x:c r="E8" s="20" t="str">
        <x:v>Not verified</x:v>
      </x:c>
      <x:c r="F8" s="17" t="str"/>
      <x:c r="G8" s="17" t="str">
        <x:v>Compliance lead</x:v>
      </x:c>
      <x:c r="H8" s="17" t="str">
        <x:v>Yes</x:v>
      </x:c>
    </x:row>
    <x:row r="9" ht="78" customHeight="1">
      <x:c r="A9" s="17" t="str">
        <x:v>G05</x:v>
      </x:c>
      <x:c r="B9" s="17" t="str">
        <x:v>Accounting</x:v>
      </x:c>
      <x:c r="C9" s="17" t="str">
        <x:v>Journal reconciliation and numerical integrity</x:v>
      </x:c>
      <x:c r="D9" s="17" t="str">
        <x:v>Independent fixtures, property tests, source-overlap and cash/concurrency tests with exact revisions</x:v>
      </x:c>
      <x:c r="E9" s="20" t="str">
        <x:v>Not verified</x:v>
      </x:c>
      <x:c r="F9" s="17" t="str"/>
      <x:c r="G9" s="17" t="str">
        <x:v>Accounting lead</x:v>
      </x:c>
      <x:c r="H9" s="17" t="str">
        <x:v>Yes</x:v>
      </x:c>
    </x:row>
    <x:row r="10" ht="78" customHeight="1">
      <x:c r="A10" s="17" t="str">
        <x:v>G06</x:v>
      </x:c>
      <x:c r="B10" s="17" t="str">
        <x:v>Quant</x:v>
      </x:c>
      <x:c r="C10" s="17" t="str">
        <x:v>All six strategy families and evidence policies</x:v>
      </x:c>
      <x:c r="D10" s="17" t="str">
        <x:v>Versioned implementations, predeclared family gates, no fabricated edge, qualified free and intraday paths</x:v>
      </x:c>
      <x:c r="E10" s="20" t="str">
        <x:v>Not verified</x:v>
      </x:c>
      <x:c r="F10" s="17" t="str"/>
      <x:c r="G10" s="17" t="str">
        <x:v>Quant lead</x:v>
      </x:c>
      <x:c r="H10" s="17" t="str">
        <x:v>Yes</x:v>
      </x:c>
    </x:row>
    <x:row r="11" ht="78" customHeight="1">
      <x:c r="A11" s="17" t="str">
        <x:v>G07</x:v>
      </x:c>
      <x:c r="B11" s="17" t="str">
        <x:v>Options</x:v>
      </x:c>
      <x:c r="C11" s="17" t="str">
        <x:v>Qualified opt-in options capability</x:v>
      </x:c>
      <x:c r="D11" s="17" t="str">
        <x:v>Contract/deliverable/payoff/assignment/collateral tests and qualified live-data path; free indicative restrictions</x:v>
      </x:c>
      <x:c r="E11" s="20" t="str">
        <x:v>Not verified</x:v>
      </x:c>
      <x:c r="F11" s="17" t="str"/>
      <x:c r="G11" s="17" t="str">
        <x:v>Options lead</x:v>
      </x:c>
      <x:c r="H11" s="17" t="str">
        <x:v>Yes</x:v>
      </x:c>
    </x:row>
    <x:row r="12" ht="78" customHeight="1">
      <x:c r="A12" s="17" t="str">
        <x:v>G08</x:v>
      </x:c>
      <x:c r="B12" s="17" t="str">
        <x:v>AI</x:v>
      </x:c>
      <x:c r="C12" s="17" t="str">
        <x:v>API and permitted subscription routes</x:v>
      </x:c>
      <x:c r="D12" s="17" t="str">
        <x:v>Provider-specific auth/use permission and measured structured/review performance per supported configuration</x:v>
      </x:c>
      <x:c r="E12" s="20" t="str">
        <x:v>Not verified</x:v>
      </x:c>
      <x:c r="F12" s="17" t="str"/>
      <x:c r="G12" s="17" t="str">
        <x:v>AI lead</x:v>
      </x:c>
      <x:c r="H12" s="17" t="str">
        <x:v>Yes</x:v>
      </x:c>
    </x:row>
    <x:row r="13" ht="78" customHeight="1">
      <x:c r="A13" s="17" t="str">
        <x:v>G09</x:v>
      </x:c>
      <x:c r="B13" s="17" t="str">
        <x:v>Decision safety</x:v>
      </x:c>
      <x:c r="C13" s="17" t="str">
        <x:v>Proposal authority and risk controls</x:v>
      </x:c>
      <x:c r="D13" s="17" t="str">
        <x:v>No broker mutations, atomic cash/policy checks, expiry, scoped pauses and explicit resumption tests</x:v>
      </x:c>
      <x:c r="E13" s="20" t="str">
        <x:v>Not verified</x:v>
      </x:c>
      <x:c r="F13" s="17" t="str"/>
      <x:c r="G13" s="17" t="str">
        <x:v>Decision safety lead</x:v>
      </x:c>
      <x:c r="H13" s="17" t="str">
        <x:v>Yes</x:v>
      </x:c>
    </x:row>
    <x:row r="14" ht="78" customHeight="1">
      <x:c r="A14" s="17" t="str">
        <x:v>G10</x:v>
      </x:c>
      <x:c r="B14" s="17" t="str">
        <x:v>Improvement</x:v>
      </x:c>
      <x:c r="C14" s="17" t="str">
        <x:v>All six improvement paths including recursion</x:v>
      </x:c>
      <x:c r="D14" s="17" t="str">
        <x:v>Positive/negative tests, independent assessment, V0→V1→next cycle, promotion/adoption/rollback receipts</x:v>
      </x:c>
      <x:c r="E14" s="20" t="str">
        <x:v>Not verified</x:v>
      </x:c>
      <x:c r="F14" s="17" t="str"/>
      <x:c r="G14" s="17" t="str">
        <x:v>Improvement lead</x:v>
      </x:c>
      <x:c r="H14" s="17" t="str">
        <x:v>Yes</x:v>
      </x:c>
    </x:row>
    <x:row r="15" ht="78" customHeight="1">
      <x:c r="A15" s="17" t="str">
        <x:v>G11</x:v>
      </x:c>
      <x:c r="B15" s="17" t="str">
        <x:v>Security</x:v>
      </x:c>
      <x:c r="C15" s="17" t="str">
        <x:v>Tenant/agent/sandbox isolation and supply chain</x:v>
      </x:c>
      <x:c r="D15" s="17" t="str">
        <x:v>Cross-tenant, credential, SSRF, injection, sandbox, signing and archive adversarial results; unresolved criticals zero</x:v>
      </x:c>
      <x:c r="E15" s="20" t="str">
        <x:v>Not verified</x:v>
      </x:c>
      <x:c r="F15" s="17" t="str"/>
      <x:c r="G15" s="17" t="str">
        <x:v>Security lead</x:v>
      </x:c>
      <x:c r="H15" s="17" t="str">
        <x:v>Yes</x:v>
      </x:c>
    </x:row>
    <x:row r="16" ht="78" customHeight="1">
      <x:c r="A16" s="17" t="str">
        <x:v>G12</x:v>
      </x:c>
      <x:c r="B16" s="17" t="str">
        <x:v>Privacy</x:v>
      </x:c>
      <x:c r="C16" s="17" t="str">
        <x:v>Consent, export, deletion, migration and retention</x:v>
      </x:c>
      <x:c r="D16" s="17" t="str">
        <x:v>Private learning isolation, safe round trip, licensed omissions, tombstone restore and backup-expiry demonstration</x:v>
      </x:c>
      <x:c r="E16" s="20" t="str">
        <x:v>Not verified</x:v>
      </x:c>
      <x:c r="F16" s="17" t="str"/>
      <x:c r="G16" s="17" t="str">
        <x:v>Privacy lead</x:v>
      </x:c>
      <x:c r="H16" s="17" t="str">
        <x:v>Yes</x:v>
      </x:c>
    </x:row>
    <x:row r="17" ht="78" customHeight="1">
      <x:c r="A17" s="17" t="str">
        <x:v>G13</x:v>
      </x:c>
      <x:c r="B17" s="17" t="str">
        <x:v>Simulation</x:v>
      </x:c>
      <x:c r="C17" s="17" t="str">
        <x:v>Virtual execution and benchmark integrity</x:v>
      </x:c>
      <x:c r="D17" s="17" t="str">
        <x:v>Fill/cost/ambiguity/corporate-action tests, cash-flow matched baseline and separate actual/sim scorecards</x:v>
      </x:c>
      <x:c r="E17" s="20" t="str">
        <x:v>Not verified</x:v>
      </x:c>
      <x:c r="F17" s="17" t="str"/>
      <x:c r="G17" s="17" t="str">
        <x:v>Simulation lead</x:v>
      </x:c>
      <x:c r="H17" s="17" t="str">
        <x:v>Yes</x:v>
      </x:c>
    </x:row>
    <x:row r="18" ht="78" customHeight="1">
      <x:c r="A18" s="17" t="str">
        <x:v>G14</x:v>
      </x:c>
      <x:c r="B18" s="17" t="str">
        <x:v>Operations</x:v>
      </x:c>
      <x:c r="C18" s="17" t="str">
        <x:v>Load latency budget and recovery</x:v>
      </x:c>
      <x:c r="D18" s="17" t="str">
        <x:v>Combined stated workload, P95 timings plus misses, per-source age, USD100/USD20 caps and measured RPO/RTO</x:v>
      </x:c>
      <x:c r="E18" s="20" t="str">
        <x:v>Not verified</x:v>
      </x:c>
      <x:c r="F18" s="17" t="str"/>
      <x:c r="G18" s="17" t="str">
        <x:v>Operations lead</x:v>
      </x:c>
      <x:c r="H18" s="17" t="str">
        <x:v>Yes</x:v>
      </x:c>
    </x:row>
    <x:row r="19" ht="78" customHeight="1">
      <x:c r="A19" s="17" t="str">
        <x:v>G15</x:v>
      </x:c>
      <x:c r="B19" s="17" t="str">
        <x:v>UX</x:v>
      </x:c>
      <x:c r="C19" s="17" t="str">
        <x:v>Accessible truthful operational experience</x:v>
      </x:c>
      <x:c r="D19" s="17" t="str">
        <x:v>Keyboard/screen-reader workflows, visible scope/freshness/qualification, expiry-aware notifications and chat governance</x:v>
      </x:c>
      <x:c r="E19" s="20" t="str">
        <x:v>Not verified</x:v>
      </x:c>
      <x:c r="F19" s="17" t="str"/>
      <x:c r="G19" s="17" t="str">
        <x:v>UX lead</x:v>
      </x:c>
      <x:c r="H19" s="17" t="str">
        <x:v>Yes</x:v>
      </x:c>
    </x:row>
    <x:row r="20" ht="78" customHeight="1">
      <x:c r="A20" s="17" t="str">
        <x:v>G16</x:v>
      </x:c>
      <x:c r="B20" s="17" t="str">
        <x:v>Release</x:v>
      </x:c>
      <x:c r="C20" s="17" t="str">
        <x:v>Full-scope release and claims review</x:v>
      </x:c>
      <x:c r="D20" s="17" t="str">
        <x:v>All mandatory gates, support/runbooks, notices, provider/legal renewal dates and independent final verifier signoff</x:v>
      </x:c>
      <x:c r="E20" s="20" t="str">
        <x:v>Not verified</x:v>
      </x:c>
      <x:c r="F20" s="17" t="str"/>
      <x:c r="G20" s="17" t="str">
        <x:v>Release lead</x:v>
      </x:c>
      <x:c r="H20" s="17" t="str">
        <x:v>Yes</x:v>
      </x:c>
    </x:row>
  </x:sheetData>
  <x:mergeCells>
    <x:mergeCell ref="A1:H1"/>
    <x:mergeCell ref="A2:H2"/>
  </x:mergeCells>
  <x:dataValidations count="1">
    <x:dataValidation type="list" sqref="E5:E20">
      <x:formula1>"Not verified,In progress,Blocked,Passed"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41dc41601c423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24" hidden="0" customWidth="1"/>
    <x:col min="4" max="4" width="28" hidden="0" customWidth="1"/>
    <x:col min="5" max="5" width="36" hidden="0" customWidth="1"/>
    <x:col min="6" max="6" width="27" hidden="0" customWidth="1"/>
    <x:col min="7" max="7" width="55" hidden="0" customWidth="1"/>
    <x:col min="8" max="8" width="52" hidden="0" customWidth="1"/>
    <x:col min="9" max="9" width="20" hidden="0" customWidth="1"/>
    <x:col min="10" max="10" width="48" hidden="0" customWidth="1"/>
  </x:cols>
  <x:sheetData>
    <x:row r="1" ht="32" customHeight="1">
      <x:c r="A1" s="3" t="str">
        <x:v>EXTERNAL &amp; TECHNICAL QUALIFICATION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Documentation evidence is not actual account testing, financial-use permission, legal clearance or measured operational fitness.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2" t="str">
        <x:v>Check</x:v>
      </x:c>
      <x:c r="B4" s="12" t="str">
        <x:v>Capability</x:v>
      </x:c>
      <x:c r="C4" s="12" t="str">
        <x:v>Owner</x:v>
      </x:c>
      <x:c r="D4" s="12" t="str">
        <x:v>Tasks</x:v>
      </x:c>
      <x:c r="E4" s="12" t="str">
        <x:v>Current evidence status</x:v>
      </x:c>
      <x:c r="F4" s="12" t="str">
        <x:v>Scope</x:v>
      </x:c>
      <x:c r="G4" s="12" t="str">
        <x:v>Qualification requirement</x:v>
      </x:c>
      <x:c r="H4" s="12" t="str">
        <x:v>Required receipt</x:v>
      </x:c>
      <x:c r="I4" s="12" t="str">
        <x:v>Source IDs</x:v>
      </x:c>
      <x:c r="J4" s="12" t="str">
        <x:v>Source URLs</x:v>
      </x:c>
    </x:row>
    <x:row r="5" ht="78" customHeight="1">
      <x:c r="A5" s="17" t="str">
        <x:v>QUAL01</x:v>
      </x:c>
      <x:c r="B5" s="17" t="str">
        <x:v>Alpaca free workload</x:v>
      </x:c>
      <x:c r="C5" s="17" t="str">
        <x:v>Integration lead</x:v>
      </x:c>
      <x:c r="D5" s="17" t="str">
        <x:v>T002,T004,T021,T022</x:v>
      </x:c>
      <x:c r="E5" s="17" t="str">
        <x:v>Documentation checked; operational qualification not run</x:v>
      </x:c>
      <x:c r="F5" s="17" t="str">
        <x:v>Both</x:v>
      </x:c>
      <x:c r="G5" s="17" t="str">
        <x:v>Prove 30-stream prioritized tracking plus scheduled discovery, explicit IEX/SIP feed semantics, quotas and action-capable free EOD strategy.</x:v>
      </x:c>
      <x:c r="H5" s="17" t="str">
        <x:v>Actual permitted credentials, dates, measured events, accuracy and missing-data receipts.</x:v>
      </x:c>
      <x:c r="I5" s="17" t="str">
        <x:v>SRC-01,SRC-02</x:v>
      </x:c>
      <x:c r="J5" s="17" t="str">
        <x:v>https://docs.alpaca.markets/us/docs/about-market-data-api | https://docs.alpaca.markets/us/docs/market-data-faq</x:v>
      </x:c>
    </x:row>
    <x:row r="6" ht="78" customHeight="1">
      <x:c r="A6" s="17" t="str">
        <x:v>QUAL02</x:v>
      </x:c>
      <x:c r="B6" s="17" t="str">
        <x:v>Alpaca hosted data rights</x:v>
      </x:c>
      <x:c r="C6" s="17" t="str">
        <x:v>Owner + counsel</x:v>
      </x:c>
      <x:c r="D6" s="17" t="str">
        <x:v>T002,T065</x:v>
      </x:c>
      <x:c r="E6" s="17" t="str">
        <x:v>Permission pending</x:v>
      </x:c>
      <x:c r="F6" s="17" t="str">
        <x:v>Hosted commercial</x:v>
      </x:c>
      <x:c r="G6" s="17" t="str">
        <x:v>Obtain product-specific display, storage, multiuser, redistribution and model-processing permissions. BYO does not pool rights.</x:v>
      </x:c>
      <x:c r="H6" s="17" t="str">
        <x:v>Written permitted-use/entitlement matrix.</x:v>
      </x:c>
      <x:c r="I6" s="17" t="str">
        <x:v>SRC-01</x:v>
      </x:c>
      <x:c r="J6" s="17" t="str">
        <x:v>https://docs.alpaca.markets/us/docs/about-market-data-api</x:v>
      </x:c>
    </x:row>
    <x:row r="7" ht="78" customHeight="1">
      <x:c r="A7" s="17" t="str">
        <x:v>QUAL03</x:v>
      </x:c>
      <x:c r="B7" s="17" t="str">
        <x:v>CIBC authentic CSV</x:v>
      </x:c>
      <x:c r="C7" s="17" t="str">
        <x:v>Integration lead</x:v>
      </x:c>
      <x:c r="D7" s="17" t="str">
        <x:v>T005,T015</x:v>
      </x:c>
      <x:c r="E7" s="17" t="str">
        <x:v>Actual export sample missing</x:v>
      </x:c>
      <x:c r="F7" s="17" t="str">
        <x:v>Both</x:v>
      </x:c>
      <x:c r="G7" s="17" t="str">
        <x:v>Validate real exported holdings/activity, encodings, sign and fee semantics. CSV only promised.</x:v>
      </x:c>
      <x:c r="H7" s="17" t="str">
        <x:v>Sanitized approved samples + golden parse/reconciliation tests.</x:v>
      </x:c>
      <x:c r="I7" s="17" t="str">
        <x:v>SRC-26</x:v>
      </x:c>
      <x:c r="J7" s="17" t="str">
        <x:v>Library: Codex_AC_ECC_Setup.md, 2026-10-06</x:v>
      </x:c>
    </x:row>
    <x:row r="8" ht="78" customHeight="1">
      <x:c r="A8" s="17" t="str">
        <x:v>QUAL04</x:v>
      </x:c>
      <x:c r="B8" s="17" t="str">
        <x:v>Yahoo CSV interchange</x:v>
      </x:c>
      <x:c r="C8" s="17" t="str">
        <x:v>Integration lead</x:v>
      </x:c>
      <x:c r="D8" s="17" t="str">
        <x:v>T005,T015</x:v>
      </x:c>
      <x:c r="E8" s="17" t="str">
        <x:v>Official search excerpt checked; sample missing</x:v>
      </x:c>
      <x:c r="F8" s="17" t="str">
        <x:v>Both</x:v>
      </x:c>
      <x:c r="G8" s="17" t="str">
        <x:v>Read supported portfolio/watchlist fields, distinguish mirrors, export compatible current template; no automatic sync promise.</x:v>
      </x:c>
      <x:c r="H8" s="17" t="str">
        <x:v>Actual import/export roundtrip screenshots/results and version.</x:v>
      </x:c>
      <x:c r="I8" s="17" t="str">
        <x:v>SRC-09</x:v>
      </x:c>
      <x:c r="J8" s="17" t="str">
        <x:v>https://help.yahoo.com/kb/finance-for-web/download-portfolio-data-yahoo-finance-sln15034.html</x:v>
      </x:c>
    </x:row>
    <x:row r="9" ht="78" customHeight="1">
      <x:c r="A9" s="17" t="str">
        <x:v>QUAL05</x:v>
      </x:c>
      <x:c r="B9" s="17" t="str">
        <x:v>Questrade personal and hosted sync</x:v>
      </x:c>
      <x:c r="C9" s="17" t="str">
        <x:v>Integration lead</x:v>
      </x:c>
      <x:c r="D9" s="17" t="str">
        <x:v>T002,T005,T016</x:v>
      </x:c>
      <x:c r="E9" s="17" t="str">
        <x:v>Documentation checked; credentials/permissions untested</x:v>
      </x:c>
      <x:c r="F9" s="17" t="str">
        <x:v>Both</x:v>
      </x:c>
      <x:c r="G9" s="17" t="str">
        <x:v>Read-only positions, cash, transactions, options, revocation and history; select direct or approved aggregator per deployment.</x:v>
      </x:c>
      <x:c r="H9" s="17" t="str">
        <x:v>Provider approval + test account end-to-end reconciliation.</x:v>
      </x:c>
      <x:c r="I9" s="17" t="str">
        <x:v>SRC-06,SRC-04,SRC-05</x:v>
      </x:c>
      <x:c r="J9" s="17" t="str">
        <x:v>https://www.questrade.com/api | https://docs.snaptrade.com/docs/broker-access-guide | https://docs.snaptrade.com/docs/trade-detection</x:v>
      </x:c>
    </x:row>
    <x:row r="10" ht="78" customHeight="1">
      <x:c r="A10" s="17" t="str">
        <x:v>QUAL06</x:v>
      </x:c>
      <x:c r="B10" s="17" t="str">
        <x:v>IBKR personal and third-party sync</x:v>
      </x:c>
      <x:c r="C10" s="17" t="str">
        <x:v>Integration lead</x:v>
      </x:c>
      <x:c r="D10" s="17" t="str">
        <x:v>T002,T005,T016</x:v>
      </x:c>
      <x:c r="E10" s="17" t="str">
        <x:v>Third-party approval and integration tests pending</x:v>
      </x:c>
      <x:c r="F10" s="17" t="str">
        <x:v>Both</x:v>
      </x:c>
      <x:c r="G10" s="17" t="str">
        <x:v>Qualify actual authentication/session/account types; no assumption one consumer flow covers hosted SaaS.</x:v>
      </x:c>
      <x:c r="H10" s="17" t="str">
        <x:v>Approved app flow + account/history/options/failure receipts.</x:v>
      </x:c>
      <x:c r="I10" s="17" t="str">
        <x:v>SRC-07,SRC-04</x:v>
      </x:c>
      <x:c r="J10" s="17" t="str">
        <x:v>https://www.interactivebrokers.com/campus/ibkr-api-page/webapi-doc/ | https://docs.snaptrade.com/docs/broker-access-guide</x:v>
      </x:c>
    </x:row>
    <x:row r="11" ht="78" customHeight="1">
      <x:c r="A11" s="17" t="str">
        <x:v>QUAL07</x:v>
      </x:c>
      <x:c r="B11" s="17" t="str">
        <x:v>Wealthsimple synchronization</x:v>
      </x:c>
      <x:c r="C11" s="17" t="str">
        <x:v>Integration lead</x:v>
      </x:c>
      <x:c r="D11" s="17" t="str">
        <x:v>T002,T005,T016</x:v>
      </x:c>
      <x:c r="E11" s="17" t="str">
        <x:v>Aggregator candidate documented; operational tests pending</x:v>
      </x:c>
      <x:c r="F11" s="17" t="str">
        <x:v>Both</x:v>
      </x:c>
      <x:c r="G11" s="17" t="str">
        <x:v>Test actual balances/positions/transactions/options and delay; fallback CSV not replacement for required sync.</x:v>
      </x:c>
      <x:c r="H11" s="17" t="str">
        <x:v>Read-only flow, measured lag incl &gt;=5min detection assumption and reconciliation.</x:v>
      </x:c>
      <x:c r="I11" s="17" t="str">
        <x:v>SRC-04,SRC-05,SRC-08</x:v>
      </x:c>
      <x:c r="J11" s="17" t="str">
        <x:v>https://docs.snaptrade.com/docs/broker-access-guide | https://docs.snaptrade.com/docs/trade-detection | https://help.wealthsimple.com/hc/en-ca/articles/39449252453019-View-your-account-activity-and-running-balance</x:v>
      </x:c>
    </x:row>
    <x:row r="12" ht="78" customHeight="1">
      <x:c r="A12" s="17" t="str">
        <x:v>QUAL08</x:v>
      </x:c>
      <x:c r="B12" s="17" t="str">
        <x:v>Options execution-quality feed</x:v>
      </x:c>
      <x:c r="C12" s="17" t="str">
        <x:v>Quant + integration</x:v>
      </x:c>
      <x:c r="D12" s="17" t="str">
        <x:v>T021,T034,T035</x:v>
      </x:c>
      <x:c r="E12" s="17" t="str">
        <x:v>Not qualified</x:v>
      </x:c>
      <x:c r="F12" s="17" t="str">
        <x:v>Configured options path</x:v>
      </x:c>
      <x:c r="G12" s="17" t="str">
        <x:v>OPRA/other entitled suitable chain, contract terms, spreads, freshness and assignment lifecycle; indicative not auto-qualified.</x:v>
      </x:c>
      <x:c r="H12" s="17" t="str">
        <x:v>Feed rights + contract-case and freshness tests.</x:v>
      </x:c>
      <x:c r="I12" s="17" t="str">
        <x:v>SRC-01,SRC-20,SRC-21</x:v>
      </x:c>
      <x:c r="J12" s="17" t="str">
        <x:v>https://docs.alpaca.markets/us/docs/about-market-data-api | https://www.optionseducation.org/referencelibrary/faq/options-assignment | https://www.optionseducation.org/strategies/all-strategies/bear-put-spread</x:v>
      </x:c>
    </x:row>
    <x:row r="13" ht="78" customHeight="1">
      <x:c r="A13" s="17" t="str">
        <x:v>QUAL09</x:v>
      </x:c>
      <x:c r="B13" s="17" t="str">
        <x:v>SEC facts point-in-time</x:v>
      </x:c>
      <x:c r="C13" s="17" t="str">
        <x:v>Data engineer</x:v>
      </x:c>
      <x:c r="D13" s="17" t="str">
        <x:v>T023,T032</x:v>
      </x:c>
      <x:c r="E13" s="17" t="str">
        <x:v>Documentation checked; normalization untested</x:v>
      </x:c>
      <x:c r="F13" s="17" t="str">
        <x:v>Both</x:v>
      </x:c>
      <x:c r="G13" s="17" t="str">
        <x:v>Respect public limits/identification; handle taxonomy/units/amendments, availability timestamps and missing sectors.</x:v>
      </x:c>
      <x:c r="H13" s="17" t="str">
        <x:v>Versioned facts corpus with expected publication and revision behavior.</x:v>
      </x:c>
      <x:c r="I13" s="17" t="str">
        <x:v>SRC-10</x:v>
      </x:c>
      <x:c r="J13" s="17" t="str">
        <x:v>https://www.sec.gov/search-filings/edgar-application-programming-interfaces</x:v>
      </x:c>
    </x:row>
    <x:row r="14" ht="78" customHeight="1">
      <x:c r="A14" s="17" t="str">
        <x:v>QUAL10</x:v>
      </x:c>
      <x:c r="B14" s="17" t="str">
        <x:v>Bank of Canada reference FX</x:v>
      </x:c>
      <x:c r="C14" s="17" t="str">
        <x:v>Data engineer</x:v>
      </x:c>
      <x:c r="D14" s="17" t="str">
        <x:v>T023,T018</x:v>
      </x:c>
      <x:c r="E14" s="17" t="str">
        <x:v>Documentation checked; implementation untested</x:v>
      </x:c>
      <x:c r="F14" s="17" t="str">
        <x:v>Both</x:v>
      </x:c>
      <x:c r="G14" s="17" t="str">
        <x:v>Daily reference rates only; weekend/holiday stale policy; no executable FX claim.</x:v>
      </x:c>
      <x:c r="H14" s="17" t="str">
        <x:v>Rate direction/unit/date tests and source rights review.</x:v>
      </x:c>
      <x:c r="I14" s="17" t="str">
        <x:v>SRC-11</x:v>
      </x:c>
      <x:c r="J14" s="17" t="str">
        <x:v>https://www.bankofcanada.ca/valet-api-how-to/</x:v>
      </x:c>
    </x:row>
    <x:row r="15" ht="78" customHeight="1">
      <x:c r="A15" s="17" t="str">
        <x:v>QUAL11</x:v>
      </x:c>
      <x:c r="B15" s="17" t="str">
        <x:v>OpenAI API financial workflow</x:v>
      </x:c>
      <x:c r="C15" s="17" t="str">
        <x:v>AI + compliance</x:v>
      </x:c>
      <x:c r="D15" s="17" t="str">
        <x:v>T006,T037,T065</x:v>
      </x:c>
      <x:c r="E15" s="17" t="str">
        <x:v>Product permission/model capability not qualified</x:v>
      </x:c>
      <x:c r="F15" s="17" t="str">
        <x:v>Both</x:v>
      </x:c>
      <x:c r="G15" s="17" t="str">
        <x:v>Qualify current API model structured outputs, data terms, allowed financial use and cost controls independently of subscription.</x:v>
      </x:c>
      <x:c r="H15" s="17" t="str">
        <x:v>Model/usage-policy matrix + sample task receipts.</x:v>
      </x:c>
      <x:c r="I15" s="17" t="str">
        <x:v>SRC-12</x:v>
      </x:c>
      <x:c r="J15" s="17" t="str">
        <x:v>https://help.openai.com/en/articles/20001542-using-your-chatgpt-plan-in-other-apps-and-sites</x:v>
      </x:c>
    </x:row>
    <x:row r="16" ht="78" customHeight="1">
      <x:c r="A16" s="17" t="str">
        <x:v>QUAL12</x:v>
      </x:c>
      <x:c r="B16" s="17" t="str">
        <x:v>ChatGPT subscription integration</x:v>
      </x:c>
      <x:c r="C16" s="17" t="str">
        <x:v>AI integration</x:v>
      </x:c>
      <x:c r="D16" s="17" t="str">
        <x:v>T006,T037</x:v>
      </x:c>
      <x:c r="E16" s="17" t="str">
        <x:v>Participation/eligibility pending</x:v>
      </x:c>
      <x:c r="F16" s="17" t="str">
        <x:v>Provider-supported configurations</x:v>
      </x:c>
      <x:c r="G16" s="17" t="str">
        <x:v>Use approved participating-app/native route; eligible account/model/limits differ. No generic API credits claim.</x:v>
      </x:c>
      <x:c r="H16" s="17" t="str">
        <x:v>Actual permitted sign-in and bounded request/limit test per edition.</x:v>
      </x:c>
      <x:c r="I16" s="17" t="str">
        <x:v>SRC-12</x:v>
      </x:c>
      <x:c r="J16" s="17" t="str">
        <x:v>https://help.openai.com/en/articles/20001542-using-your-chatgpt-plan-in-other-apps-and-sites</x:v>
      </x:c>
    </x:row>
    <x:row r="17" ht="78" customHeight="1">
      <x:c r="A17" s="17" t="str">
        <x:v>QUAL13</x:v>
      </x:c>
      <x:c r="B17" s="17" t="str">
        <x:v>Anthropic API/native subscription</x:v>
      </x:c>
      <x:c r="C17" s="17" t="str">
        <x:v>AI integration</x:v>
      </x:c>
      <x:c r="D17" s="17" t="str">
        <x:v>T006,T037</x:v>
      </x:c>
      <x:c r="E17" s="17" t="str">
        <x:v>Native legal boundary checked; runtime untested</x:v>
      </x:c>
      <x:c r="F17" s="17" t="str">
        <x:v>Provider-supported configurations</x:v>
      </x:c>
      <x:c r="G17" s="17" t="str">
        <x:v>API and unmodified native runtime isolated; no collection of Claude.ai tokens/session credentials; financial use permitted.</x:v>
      </x:c>
      <x:c r="H17" s="17" t="str">
        <x:v>Approved runtime workflow with keys hidden and rate/limit test.</x:v>
      </x:c>
      <x:c r="I17" s="17" t="str">
        <x:v>SRC-13</x:v>
      </x:c>
      <x:c r="J17" s="17" t="str">
        <x:v>https://code.claude.com/docs/en/legal-and-compliance</x:v>
      </x:c>
    </x:row>
    <x:row r="18" ht="78" customHeight="1">
      <x:c r="A18" s="17" t="str">
        <x:v>QUAL14</x:v>
      </x:c>
      <x:c r="B18" s="17" t="str">
        <x:v>xAI API integration</x:v>
      </x:c>
      <x:c r="C18" s="17" t="str">
        <x:v>AI integration</x:v>
      </x:c>
      <x:c r="D18" s="17" t="str">
        <x:v>T006,T037</x:v>
      </x:c>
      <x:c r="E18" s="17" t="str">
        <x:v>API documentation checked; runtime untested</x:v>
      </x:c>
      <x:c r="F18" s="17" t="str">
        <x:v>Both with API access</x:v>
      </x:c>
      <x:c r="G18" s="17" t="str">
        <x:v>Qualify API capabilities, privacy, financial-use terms and metering; no consumer subscription promise.</x:v>
      </x:c>
      <x:c r="H18" s="17" t="str">
        <x:v>Model/run/cost/timeout/citation JSON tests.</x:v>
      </x:c>
      <x:c r="I18" s="17" t="str">
        <x:v>SRC-14</x:v>
      </x:c>
      <x:c r="J18" s="17" t="str">
        <x:v>https://docs.x.ai/developers/rest-api-reference/management/auth</x:v>
      </x:c>
    </x:row>
    <x:row r="19" ht="78" customHeight="1">
      <x:c r="A19" s="17" t="str">
        <x:v>QUAL15</x:v>
      </x:c>
      <x:c r="B19" s="17" t="str">
        <x:v>Free-mode strategy floor</x:v>
      </x:c>
      <x:c r="C19" s="17" t="str">
        <x:v>Quant lead</x:v>
      </x:c>
      <x:c r="D19" s="17" t="str">
        <x:v>T004,T027,T028,T030,T033,T064</x:v>
      </x:c>
      <x:c r="E19" s="17" t="str">
        <x:v>Not evaluated</x:v>
      </x:c>
      <x:c r="F19" s="17" t="str">
        <x:v>Both</x:v>
      </x:c>
      <x:c r="G19" s="17" t="str">
        <x:v>Rebalance and at least one non-intraday qualified rules-only strategy demonstrably work with permitted free data and no paid AI.</x:v>
      </x:c>
      <x:c r="H19" s="17" t="str">
        <x:v>Positive/abstention/rejection cases, protocol and prospective evidence.</x:v>
      </x:c>
      <x:c r="I19" s="17" t="str">
        <x:v>SRC-01,SRC-02,SRC-22</x:v>
      </x:c>
      <x:c r="J19" s="17" t="str">
        <x:v>https://docs.alpaca.markets/us/docs/about-market-data-api | https://docs.alpaca.markets/us/docs/market-data-faq | https://scholarworks.wmich.edu/math_pubs/42/</x:v>
      </x:c>
    </x:row>
    <x:row r="20" ht="78" customHeight="1">
      <x:c r="A20" s="17" t="str">
        <x:v>QUAL16</x:v>
      </x:c>
      <x:c r="B20" s="17" t="str">
        <x:v>Intraday signal and source fitness</x:v>
      </x:c>
      <x:c r="C20" s="17" t="str">
        <x:v>Quant + performance</x:v>
      </x:c>
      <x:c r="D20" s="17" t="str">
        <x:v>T031,T061</x:v>
      </x:c>
      <x:c r="E20" s="17" t="str">
        <x:v>Not evaluated</x:v>
      </x:c>
      <x:c r="F20" s="17" t="str">
        <x:v>Suitable configured feed/account path</x:v>
      </x:c>
      <x:c r="G20" s="17" t="str">
        <x:v>Actual same-day strategy must meet event freshness, account state, review and remaining action window. Document configurations that fail.</x:v>
      </x:c>
      <x:c r="H20" s="17" t="str">
        <x:v>P95/timeout/miss reports including full denominator under load.</x:v>
      </x:c>
      <x:c r="I20" s="17" t="str">
        <x:v>SRC-01,SRC-02,SRC-05</x:v>
      </x:c>
      <x:c r="J20" s="17" t="str">
        <x:v>https://docs.alpaca.markets/us/docs/about-market-data-api | https://docs.alpaca.markets/us/docs/market-data-faq | https://docs.snaptrade.com/docs/trade-detection</x:v>
      </x:c>
    </x:row>
    <x:row r="21" ht="78" customHeight="1">
      <x:c r="A21" s="17" t="str">
        <x:v>QUAL17</x:v>
      </x:c>
      <x:c r="B21" s="17" t="str">
        <x:v>gVisor and single-machine isolation</x:v>
      </x:c>
      <x:c r="C21" s="17" t="str">
        <x:v>Security lead</x:v>
      </x:c>
      <x:c r="D21" s="17" t="str">
        <x:v>T007,T049,T050,T060,T062</x:v>
      </x:c>
      <x:c r="E21" s="17" t="str">
        <x:v>Technology selected; deployment untested</x:v>
      </x:c>
      <x:c r="F21" s="17" t="str">
        <x:v>Self-hosted and hosted experiment workers</x:v>
      </x:c>
      <x:c r="G21" s="17" t="str">
        <x:v>No host Docker socket, production secrets, writable assessor, unapproved outbound network or live DB writes.</x:v>
      </x:c>
      <x:c r="H21" s="17" t="str">
        <x:v>Adversarial breakouts/egress/permissions/resource tests in supported runtime.</x:v>
      </x:c>
      <x:c r="I21" s="17" t="str">
        <x:v>SRC-16</x:v>
      </x:c>
      <x:c r="J21" s="17" t="str">
        <x:v>https://gvisor.dev/docs/</x:v>
      </x:c>
    </x:row>
    <x:row r="22" ht="78" customHeight="1">
      <x:c r="A22" s="17" t="str">
        <x:v>QUAL18</x:v>
      </x:c>
      <x:c r="B22" s="17" t="str">
        <x:v>Canadian commercial model</x:v>
      </x:c>
      <x:c r="C22" s="17" t="str">
        <x:v>Qualified counsel</x:v>
      </x:c>
      <x:c r="D22" s="17" t="str">
        <x:v>T003,T065</x:v>
      </x:c>
      <x:c r="E22" s="17" t="str">
        <x:v>Not legally assessed</x:v>
      </x:c>
      <x:c r="F22" s="17" t="str">
        <x:v>Canada external users</x:v>
      </x:c>
      <x:c r="G22" s="17" t="str">
        <x:v>Assess provinces, personalized securities advice, exemptions/registration/partner path, privacy and marketing.</x:v>
      </x:c>
      <x:c r="H22" s="17" t="str">
        <x:v>Signed product-specific determination and controls.</x:v>
      </x:c>
      <x:c r="I22" s="17" t="str">
        <x:v>SRC-17</x:v>
      </x:c>
      <x:c r="J22" s="17" t="str">
        <x:v>https://www.bcsc.bc.ca/industry/financial-technology-innovation/securities-law-fundamentals</x:v>
      </x:c>
    </x:row>
    <x:row r="23" ht="78" customHeight="1">
      <x:c r="A23" s="17" t="str">
        <x:v>QUAL19</x:v>
      </x:c>
      <x:c r="B23" s="17" t="str">
        <x:v>US commercial model</x:v>
      </x:c>
      <x:c r="C23" s="17" t="str">
        <x:v>Qualified counsel</x:v>
      </x:c>
      <x:c r="D23" s="17" t="str">
        <x:v>T003,T065</x:v>
      </x:c>
      <x:c r="E23" s="17" t="str">
        <x:v>Not legally assessed</x:v>
      </x:c>
      <x:c r="F23" s="17" t="str">
        <x:v>US external users</x:v>
      </x:c>
      <x:c r="G23" s="17" t="str">
        <x:v>Assess federal/state adviser issues, registration/exemptions, disclosures, performance, recordkeeping and data privacy.</x:v>
      </x:c>
      <x:c r="H23" s="17" t="str">
        <x:v>Signed product-specific determination and controls.</x:v>
      </x:c>
      <x:c r="I23" s="17" t="str">
        <x:v>SRC-18</x:v>
      </x:c>
      <x:c r="J23" s="17" t="str">
        <x:v>https://www.investor.gov/introduction-investing/general-resources/news-alerts/alerts-bulletins/investor-bulletins-45</x:v>
      </x:c>
    </x:row>
    <x:row r="24" ht="78" customHeight="1">
      <x:c r="A24" s="17" t="str">
        <x:v>QUAL20</x:v>
      </x:c>
      <x:c r="B24" s="17" t="str">
        <x:v>Model-assisted investment evidence</x:v>
      </x:c>
      <x:c r="C24" s="17" t="str">
        <x:v>Quant + AI evaluation</x:v>
      </x:c>
      <x:c r="D24" s="17" t="str">
        <x:v>T033,T038,T039,T044</x:v>
      </x:c>
      <x:c r="E24" s="17" t="str">
        <x:v>Not evaluated</x:v>
      </x:c>
      <x:c r="F24" s="17" t="str">
        <x:v>All AI investment paths</x:v>
      </x:c>
      <x:c r="G24" s="17" t="str">
        <x:v>No historical LLM leakage disguised as foresight; prospective baseline, calibrated grader, family-specific evidence gates.</x:v>
      </x:c>
      <x:c r="H24" s="17" t="str">
        <x:v>Frozen inputs and comparative researcher/evaluator outcomes incl failures.</x:v>
      </x:c>
      <x:c r="I24" s="17" t="str">
        <x:v>SRC-22</x:v>
      </x:c>
      <x:c r="J24" s="17" t="str">
        <x:v>https://scholarworks.wmich.edu/math_pubs/42/</x:v>
      </x:c>
    </x:row>
    <x:row r="25" ht="78" customHeight="1">
      <x:c r="A25" s="17" t="str">
        <x:v>QUAL21</x:v>
      </x:c>
      <x:c r="B25" s="17" t="str">
        <x:v>Recursive improvement and USD20 experiment budget</x:v>
      </x:c>
      <x:c r="C25" s="17" t="str">
        <x:v>AI + platform</x:v>
      </x:c>
      <x:c r="D25" s="17" t="str">
        <x:v>T044,T045,T046,T047,T048,T049,T050,T061</x:v>
      </x:c>
      <x:c r="E25" s="17" t="str">
        <x:v>Not evaluated</x:v>
      </x:c>
      <x:c r="F25" s="17" t="str">
        <x:v>Both</x:v>
      </x:c>
      <x:c r="G25" s="17" t="str">
        <x:v>All six real loops incl V0-&gt;V1 run within qualified resources; budget never used to omit required targets.</x:v>
      </x:c>
      <x:c r="H25" s="17" t="str">
        <x:v>Measured complete experiments, protected assessment, promotion and rollback receipts.</x:v>
      </x:c>
      <x:c r="I25" s="17" t="str">
        <x:v>SRC-16</x:v>
      </x:c>
      <x:c r="J25" s="17" t="str">
        <x:v>https://gvisor.dev/docs/</x:v>
      </x:c>
    </x:row>
    <x:row r="26" ht="78" customHeight="1">
      <x:c r="A26" s="17" t="str">
        <x:v>QUAL22</x:v>
      </x:c>
      <x:c r="B26" s="17" t="str">
        <x:v>Hosted security/load/recovery economics</x:v>
      </x:c>
      <x:c r="C26" s="17" t="str">
        <x:v>Platform lead</x:v>
      </x:c>
      <x:c r="D26" s="17" t="str">
        <x:v>T059,T060,T061,T062,T063</x:v>
      </x:c>
      <x:c r="E26" s="17" t="str">
        <x:v>Not measured</x:v>
      </x:c>
      <x:c r="F26" s="17" t="str">
        <x:v>Hosted</x:v>
      </x:c>
      <x:c r="G26" s="17" t="str">
        <x:v>100 monitored users/20 sessions plus imported data and experiments; SLO,RPO,RTO, actual costs.</x:v>
      </x:c>
      <x:c r="H26" s="17" t="str">
        <x:v>Load traces, restore drill, reconciled provider invoices, tenant tests.</x:v>
      </x:c>
      <x:c r="I26" s="17" t="str">
        <x:v>SRC-15,SRC-16</x:v>
      </x:c>
      <x:c r="J26" s="17" t="str">
        <x:v>https://www.postgresql.org/docs/current/ddl-rowsecurity.html | https://gvisor.dev/docs/</x:v>
      </x:c>
    </x:row>
    <x:row r="27" ht="78" customHeight="1">
      <x:c r="A27" s="17" t="str">
        <x:v>QUAL23</x:v>
      </x:c>
      <x:c r="B27" s="17" t="str">
        <x:v>Apache dependencies/source distribution</x:v>
      </x:c>
      <x:c r="C27" s="17" t="str">
        <x:v>Maintainer</x:v>
      </x:c>
      <x:c r="D27" s="17" t="str">
        <x:v>T001,T062,T065</x:v>
      </x:c>
      <x:c r="E27" s="17" t="str">
        <x:v>License chosen; dependency inventory not created</x:v>
      </x:c>
      <x:c r="F27" s="17" t="str">
        <x:v>Open-source release</x:v>
      </x:c>
      <x:c r="G27" s="17" t="str">
        <x:v>License compatibility/SBOM/NOTICE for runtime/dependencies; separate rights for datasets and third-party kits.</x:v>
      </x:c>
      <x:c r="H27" s="17" t="str">
        <x:v>Legal review where needed plus SBOM and attribution audit.</x:v>
      </x:c>
      <x:c r="I27" s="17" t="str">
        <x:v>SRC-23</x:v>
      </x:c>
      <x:c r="J27" s="17" t="str">
        <x:v>https://www.apache.org/licenses/LICENSE-2.0.txt</x:v>
      </x:c>
    </x:row>
    <x:row r="28" ht="78" customHeight="1">
      <x:c r="A28" s="17" t="str">
        <x:v>QUAL24</x:v>
      </x:c>
      <x:c r="B28" s="17" t="str">
        <x:v>User data migration/deletion</x:v>
      </x:c>
      <x:c r="C28" s="17" t="str">
        <x:v>Privacy + platform</x:v>
      </x:c>
      <x:c r="D28" s="17" t="str">
        <x:v>T052,T057,T058,T063</x:v>
      </x:c>
      <x:c r="E28" s="17" t="str">
        <x:v>Not tested</x:v>
      </x:c>
      <x:c r="F28" s="17" t="str">
        <x:v>Both</x:v>
      </x:c>
      <x:c r="G28" s="17" t="str">
        <x:v>Credential-free migration, compatibility review, private learned-state handling, deletions after backup restore and evidence unavailability.</x:v>
      </x:c>
      <x:c r="H28" s="17" t="str">
        <x:v>Export roundtrip and restore+tombstone receipts.</x:v>
      </x:c>
      <x:c r="I28" s="17" t="str">
        <x:v>SRC-26</x:v>
      </x:c>
      <x:c r="J28" s="17" t="str">
        <x:v>Library: Codex_AC_ECC_Setup.md, 2026-10-06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d5466fe65dd49e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6" hidden="0" customWidth="1"/>
    <x:col min="3" max="3" width="14" hidden="0" customWidth="1"/>
    <x:col min="4" max="4" width="14" hidden="0" customWidth="1"/>
    <x:col min="5" max="5" width="44" hidden="0" customWidth="1"/>
    <x:col min="6" max="6" width="57" hidden="0" customWidth="1"/>
    <x:col min="7" max="7" width="20" hidden="0" customWidth="1"/>
    <x:col min="8" max="8" width="28" hidden="0" customWidth="1"/>
  </x:cols>
  <x:sheetData>
    <x:row r="1" ht="32" customHeight="1">
      <x:c r="A1" s="3" t="str">
        <x:v>RISK &amp; MITIGATION REGISTER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Severity/likelihood are planning assessments. Mitigations are requirements, not controls already proven effective.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Risk</x:v>
      </x:c>
      <x:c r="B4" s="12" t="str">
        <x:v>Description</x:v>
      </x:c>
      <x:c r="C4" s="12" t="str">
        <x:v>Severity</x:v>
      </x:c>
      <x:c r="D4" s="12" t="str">
        <x:v>Likelihood</x:v>
      </x:c>
      <x:c r="E4" s="12" t="str">
        <x:v>Failure mode</x:v>
      </x:c>
      <x:c r="F4" s="12" t="str">
        <x:v>Mitigation</x:v>
      </x:c>
      <x:c r="G4" s="12" t="str">
        <x:v>Gate / task</x:v>
      </x:c>
      <x:c r="H4" s="12" t="str">
        <x:v>Status</x:v>
      </x:c>
    </x:row>
    <x:row r="5" ht="78" customHeight="1">
      <x:c r="A5" s="17" t="str">
        <x:v>RISK01</x:v>
      </x:c>
      <x:c r="B5" s="17" t="str">
        <x:v>Commercial personalized-advice classification</x:v>
      </x:c>
      <x:c r="C5" s="17" t="str">
        <x:v>Critical</x:v>
      </x:c>
      <x:c r="D5" s="17" t="str">
        <x:v>Likely</x:v>
      </x:c>
      <x:c r="E5" s="17" t="str">
        <x:v>No broker execution does not remove advice classification</x:v>
      </x:c>
      <x:c r="F5" s="17" t="str">
        <x:v>Product-specific CA/US legal gates; restrict external release until cleared</x:v>
      </x:c>
      <x:c r="G5" s="17" t="str">
        <x:v>G04,T003</x:v>
      </x:c>
      <x:c r="H5" s="17" t="str">
        <x:v>Open; mitigation untested</x:v>
      </x:c>
    </x:row>
    <x:row r="6" ht="78" customHeight="1">
      <x:c r="A6" s="17" t="str">
        <x:v>RISK02</x:v>
      </x:c>
      <x:c r="B6" s="17" t="str">
        <x:v>Free feed does not support strategy</x:v>
      </x:c>
      <x:c r="C6" s="17" t="str">
        <x:v>High</x:v>
      </x:c>
      <x:c r="D6" s="17" t="str">
        <x:v>Likely</x:v>
      </x:c>
      <x:c r="E6" s="17" t="str">
        <x:v>IEX/limited history/rights fail declared research needs</x:v>
      </x:c>
      <x:c r="F6" s="17" t="str">
        <x:v>Free qualification spike early; maintain explicit entitlement specs, no fake consolidated inputs</x:v>
      </x:c>
      <x:c r="G6" s="17" t="str">
        <x:v>G02,T004</x:v>
      </x:c>
      <x:c r="H6" s="17" t="str">
        <x:v>Open; mitigation untested</x:v>
      </x:c>
    </x:row>
    <x:row r="7" ht="78" customHeight="1">
      <x:c r="A7" s="17" t="str">
        <x:v>RISK03</x:v>
      </x:c>
      <x:c r="B7" s="17" t="str">
        <x:v>Broker state lag invalidates sizing</x:v>
      </x:c>
      <x:c r="C7" s="17" t="str">
        <x:v>Critical</x:v>
      </x:c>
      <x:c r="D7" s="17" t="str">
        <x:v>Likely</x:v>
      </x:c>
      <x:c r="E7" s="17" t="str">
        <x:v>Fast quotes hide delayed account state</x:v>
      </x:c>
      <x:c r="F7" s="17" t="str">
        <x:v>Separate effective times, conflict gates and conservative account-specific blocked sizing</x:v>
      </x:c>
      <x:c r="G7" s="17" t="str">
        <x:v>G03,T017</x:v>
      </x:c>
      <x:c r="H7" s="17" t="str">
        <x:v>Open; mitigation untested</x:v>
      </x:c>
    </x:row>
    <x:row r="8" ht="78" customHeight="1">
      <x:c r="A8" s="17" t="str">
        <x:v>RISK04</x:v>
      </x:c>
      <x:c r="B8" s="17" t="str">
        <x:v>Duplicate or missing account records</x:v>
      </x:c>
      <x:c r="C8" s="17" t="str">
        <x:v>Critical</x:v>
      </x:c>
      <x:c r="D8" s="17" t="str">
        <x:v>Possible</x:v>
      </x:c>
      <x:c r="E8" s="17" t="str">
        <x:v>Yahoo mirrors or retry imports double capital</x:v>
      </x:c>
      <x:c r="F8" s="17" t="str">
        <x:v>Underlying-account mapping, idempotency, source reconciliation, financial golden tests</x:v>
      </x:c>
      <x:c r="G8" s="17" t="str">
        <x:v>G05,T014</x:v>
      </x:c>
      <x:c r="H8" s="17" t="str">
        <x:v>Open; mitigation untested</x:v>
      </x:c>
    </x:row>
    <x:row r="9" ht="78" customHeight="1">
      <x:c r="A9" s="17" t="str">
        <x:v>RISK05</x:v>
      </x:c>
      <x:c r="B9" s="17" t="str">
        <x:v>LLM hallucination or correlated review errors</x:v>
      </x:c>
      <x:c r="C9" s="17" t="str">
        <x:v>High</x:v>
      </x:c>
      <x:c r="D9" s="17" t="str">
        <x:v>Likely</x:v>
      </x:c>
      <x:c r="E9" s="17" t="str">
        <x:v>Another agent endorses unsupported claim</x:v>
      </x:c>
      <x:c r="F9" s="17" t="str">
        <x:v>Direct evidence checks, deterministic calculations, independent context, calibrated tests and abstention</x:v>
      </x:c>
      <x:c r="G9" s="17" t="str">
        <x:v>G08,T039</x:v>
      </x:c>
      <x:c r="H9" s="17" t="str">
        <x:v>Open; mitigation untested</x:v>
      </x:c>
    </x:row>
    <x:row r="10" ht="78" customHeight="1">
      <x:c r="A10" s="17" t="str">
        <x:v>RISK06</x:v>
      </x:c>
      <x:c r="B10" s="17" t="str">
        <x:v>Backtest/LLM future information leakage</x:v>
      </x:c>
      <x:c r="C10" s="17" t="str">
        <x:v>High</x:v>
      </x:c>
      <x:c r="D10" s="17" t="str">
        <x:v>Likely</x:v>
      </x:c>
      <x:c r="E10" s="17" t="str">
        <x:v>Many optimization trials overfit or know historical future</x:v>
      </x:c>
      <x:c r="F10" s="17" t="str">
        <x:v>PIT snapshots, trial ledger, protected holdout, prospective shadow comparisons</x:v>
      </x:c>
      <x:c r="G10" s="17" t="str">
        <x:v>G06,T033</x:v>
      </x:c>
      <x:c r="H10" s="17" t="str">
        <x:v>Open; mitigation untested</x:v>
      </x:c>
    </x:row>
    <x:row r="11" ht="78" customHeight="1">
      <x:c r="A11" s="17" t="str">
        <x:v>RISK07</x:v>
      </x:c>
      <x:c r="B11" s="17" t="str">
        <x:v>Optimizer alters its own approval rules</x:v>
      </x:c>
      <x:c r="C11" s="17" t="str">
        <x:v>Critical</x:v>
      </x:c>
      <x:c r="D11" s="17" t="str">
        <x:v>Possible</x:v>
      </x:c>
      <x:c r="E11" s="17" t="str">
        <x:v>Higher score achieved by changing evaluator/tests</x:v>
      </x:c>
      <x:c r="F11" s="17" t="str">
        <x:v>Protected assessor/keys, external promotion authority, sandbox denial tests</x:v>
      </x:c>
      <x:c r="G11" s="17" t="str">
        <x:v>G10,T050</x:v>
      </x:c>
      <x:c r="H11" s="17" t="str">
        <x:v>Open; mitigation untested</x:v>
      </x:c>
    </x:row>
    <x:row r="12" ht="78" customHeight="1">
      <x:c r="A12" s="17" t="str">
        <x:v>RISK08</x:v>
      </x:c>
      <x:c r="B12" s="17" t="str">
        <x:v>Generated code escapes sandbox</x:v>
      </x:c>
      <x:c r="C12" s="17" t="str">
        <x:v>Critical</x:v>
      </x:c>
      <x:c r="D12" s="17" t="str">
        <x:v>Possible</x:v>
      </x:c>
      <x:c r="E12" s="17" t="str">
        <x:v>Accesses host or production credentials</x:v>
      </x:c>
      <x:c r="F12" s="17" t="str">
        <x:v>Qualified runtime, no socket/secrets, read-only mounts, egress controls and adversarial tests</x:v>
      </x:c>
      <x:c r="G12" s="17" t="str">
        <x:v>G11,T062</x:v>
      </x:c>
      <x:c r="H12" s="17" t="str">
        <x:v>Open; mitigation untested</x:v>
      </x:c>
    </x:row>
    <x:row r="13" ht="78" customHeight="1">
      <x:c r="A13" s="17" t="str">
        <x:v>RISK09</x:v>
      </x:c>
      <x:c r="B13" s="17" t="str">
        <x:v>Budget/latency conflict</x:v>
      </x:c>
      <x:c r="C13" s="17" t="str">
        <x:v>High</x:v>
      </x:c>
      <x:c r="D13" s="17" t="str">
        <x:v>Likely</x:v>
      </x:c>
      <x:c r="E13" s="17" t="str">
        <x:v>AI reviews expire or improvement never completes within USD20</x:v>
      </x:c>
      <x:c r="F13" s="17" t="str">
        <x:v>Atomic reservations, priority queues, one revision, representative resource feasibility proofs</x:v>
      </x:c>
      <x:c r="G13" s="17" t="str">
        <x:v>G14,T061</x:v>
      </x:c>
      <x:c r="H13" s="17" t="str">
        <x:v>Open; mitigation untested</x:v>
      </x:c>
    </x:row>
    <x:row r="14" ht="78" customHeight="1">
      <x:c r="A14" s="17" t="str">
        <x:v>RISK10</x:v>
      </x:c>
      <x:c r="B14" s="17" t="str">
        <x:v>Options payoff mistaken for pathwise risk</x:v>
      </x:c>
      <x:c r="C14" s="17" t="str">
        <x:v>Critical</x:v>
      </x:c>
      <x:c r="D14" s="17" t="str">
        <x:v>Possible</x:v>
      </x:c>
      <x:c r="E14" s="17" t="str">
        <x:v>Assignment leg exposure or unknown deliverable hidden</x:v>
      </x:c>
      <x:c r="F14" s="17" t="str">
        <x:v>Contract/lifecycle model, collateral checks, unsupported status, case tests</x:v>
      </x:c>
      <x:c r="G14" s="17" t="str">
        <x:v>G07,T035</x:v>
      </x:c>
      <x:c r="H14" s="17" t="str">
        <x:v>Open; mitigation untested</x:v>
      </x:c>
    </x:row>
    <x:row r="15" ht="78" customHeight="1">
      <x:c r="A15" s="17" t="str">
        <x:v>RISK11</x:v>
      </x:c>
      <x:c r="B15" s="17" t="str">
        <x:v>Cross-tenant data/model leakage</x:v>
      </x:c>
      <x:c r="C15" s="17" t="str">
        <x:v>Critical</x:v>
      </x:c>
      <x:c r="D15" s="17" t="str">
        <x:v>Possible</x:v>
      </x:c>
      <x:c r="E15" s="17" t="str">
        <x:v>Caches/retrieval/job scope bypasses DB boundary</x:v>
      </x:c>
      <x:c r="F15" s="17" t="str">
        <x:v>Composite isolation, RLS nonprivileged roles, per-tenant encryption/indices and adversarial tests</x:v>
      </x:c>
      <x:c r="G15" s="17" t="str">
        <x:v>G11,T010</x:v>
      </x:c>
      <x:c r="H15" s="17" t="str">
        <x:v>Open; mitigation untested</x:v>
      </x:c>
    </x:row>
    <x:row r="16" ht="78" customHeight="1">
      <x:c r="A16" s="17" t="str">
        <x:v>RISK12</x:v>
      </x:c>
      <x:c r="B16" s="17" t="str">
        <x:v>Prompt injection and source tools abuse</x:v>
      </x:c>
      <x:c r="C16" s="17" t="str">
        <x:v>Critical</x:v>
      </x:c>
      <x:c r="D16" s="17" t="str">
        <x:v>Likely</x:v>
      </x:c>
      <x:c r="E16" s="17" t="str">
        <x:v>Retrieved content orders secret release or trading</x:v>
      </x:c>
      <x:c r="F16" s="17" t="str">
        <x:v>Untrusted evidence boundaries, typed tools, no broker writes, no candidate authority</x:v>
      </x:c>
      <x:c r="G16" s="17" t="str">
        <x:v>G11,T062</x:v>
      </x:c>
      <x:c r="H16" s="17" t="str">
        <x:v>Open; mitigation untested</x:v>
      </x:c>
    </x:row>
    <x:row r="17" ht="78" customHeight="1">
      <x:c r="A17" s="17" t="str">
        <x:v>RISK13</x:v>
      </x:c>
      <x:c r="B17" s="17" t="str">
        <x:v>Provider authentication/terms changes</x:v>
      </x:c>
      <x:c r="C17" s="17" t="str">
        <x:v>High</x:v>
      </x:c>
      <x:c r="D17" s="17" t="str">
        <x:v>Likely</x:v>
      </x:c>
      <x:c r="E17" s="17" t="str">
        <x:v>Previously supported route revoked or quota reduced</x:v>
      </x:c>
      <x:c r="F17" s="17" t="str">
        <x:v>Versioned capability register, explicit degradation, permission requalification</x:v>
      </x:c>
      <x:c r="G17" s="17" t="str">
        <x:v>G02,T002</x:v>
      </x:c>
      <x:c r="H17" s="17" t="str">
        <x:v>Open; mitigation untested</x:v>
      </x:c>
    </x:row>
    <x:row r="18" ht="78" customHeight="1">
      <x:c r="A18" s="17" t="str">
        <x:v>RISK14</x:v>
      </x:c>
      <x:c r="B18" s="17" t="str">
        <x:v>Scope-led launch exceeds commercial timing</x:v>
      </x:c>
      <x:c r="C18" s="17" t="str">
        <x:v>High</x:v>
      </x:c>
      <x:c r="D18" s="17" t="str">
        <x:v>Likely</x:v>
      </x:c>
      <x:c r="E18" s="17" t="str">
        <x:v>All six improvement areas plus commercial gates take longer</x:v>
      </x:c>
      <x:c r="F18" s="17" t="str">
        <x:v>Dependency waves, explicit gate dashboard, no silent scope reduction or artificial deadline</x:v>
      </x:c>
      <x:c r="G18" s="17" t="str">
        <x:v>G16,T064</x:v>
      </x:c>
      <x:c r="H18" s="17" t="str">
        <x:v>Open; mitigation untested</x:v>
      </x:c>
    </x:row>
    <x:row r="19" ht="78" customHeight="1">
      <x:c r="A19" s="17" t="str">
        <x:v>RISK15</x:v>
      </x:c>
      <x:c r="B19" s="17" t="str">
        <x:v>Retention conflicts with reproducibility</x:v>
      </x:c>
      <x:c r="C19" s="17" t="str">
        <x:v>High</x:v>
      </x:c>
      <x:c r="D19" s="17" t="str">
        <x:v>Likely</x:v>
      </x:c>
      <x:c r="E19" s="17" t="str">
        <x:v>Evidence deleted but old scorecard claims replay</x:v>
      </x:c>
      <x:c r="F19" s="17" t="str">
        <x:v>Deletion state/tombstones, restricted benchmark claims, input availability flags</x:v>
      </x:c>
      <x:c r="G19" s="17" t="str">
        <x:v>G12,T058</x:v>
      </x:c>
      <x:c r="H19" s="17" t="str">
        <x:v>Open; mitigation untested</x:v>
      </x:c>
    </x:row>
    <x:row r="20" ht="78" customHeight="1">
      <x:c r="A20" s="17" t="str">
        <x:v>RISK16</x:v>
      </x:c>
      <x:c r="B20" s="17" t="str">
        <x:v>Live/research/simulator logic drift</x:v>
      </x:c>
      <x:c r="C20" s="17" t="str">
        <x:v>High</x:v>
      </x:c>
      <x:c r="D20" s="17" t="str">
        <x:v>Possible</x:v>
      </x:c>
      <x:c r="E20" s="17" t="str">
        <x:v>Different formulas yield misleading comparisons</x:v>
      </x:c>
      <x:c r="F20" s="17" t="str">
        <x:v>Shared domain interfaces and versioned calculation conformance fixtures</x:v>
      </x:c>
      <x:c r="G20" s="17" t="str">
        <x:v>G13,T018</x:v>
      </x:c>
      <x:c r="H20" s="17" t="str">
        <x:v>Open; mitigation untested</x:v>
      </x:c>
    </x:row>
    <x:row r="21" ht="78" customHeight="1">
      <x:c r="A21" s="17" t="str">
        <x:v>RISK17</x:v>
      </x:c>
      <x:c r="B21" s="17" t="str">
        <x:v>Currency/fees/corporate action accounting error</x:v>
      </x:c>
      <x:c r="C21" s="17" t="str">
        <x:v>Critical</x:v>
      </x:c>
      <x:c r="D21" s="17" t="str">
        <x:v>Possible</x:v>
      </x:c>
      <x:c r="E21" s="17" t="str">
        <x:v>Economic performance and available cash misstated</x:v>
      </x:c>
      <x:c r="F21" s="17" t="str">
        <x:v>Commodity-balanced decimal journal, fee convention, corporate-action test packs</x:v>
      </x:c>
      <x:c r="G21" s="17" t="str">
        <x:v>G05,T012</x:v>
      </x:c>
      <x:c r="H21" s="17" t="str">
        <x:v>Open; mitigation untested</x:v>
      </x:c>
    </x:row>
    <x:row r="22" ht="78" customHeight="1">
      <x:c r="A22" s="17" t="str">
        <x:v>RISK18</x:v>
      </x:c>
      <x:c r="B22" s="17" t="str">
        <x:v>Subsequent strategy update overrides user choice</x:v>
      </x:c>
      <x:c r="C22" s="17" t="str">
        <x:v>High</x:v>
      </x:c>
      <x:c r="D22" s="17" t="str">
        <x:v>Possible</x:v>
      </x:c>
      <x:c r="E22" s="17" t="str">
        <x:v>Maintainer release changes approved risk behavior</x:v>
      </x:c>
      <x:c r="F22" s="17" t="str">
        <x:v>Separate release approval and user strategy adoption; pause unsupported old versions</x:v>
      </x:c>
      <x:c r="G22" s="17" t="str">
        <x:v>G09,G10,T051</x:v>
      </x:c>
      <x:c r="H22" s="17" t="str">
        <x:v>Open; mitigation untested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15634e9b02a42f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1" hidden="0" customWidth="1"/>
    <x:col min="3" max="3" width="26" hidden="0" customWidth="1"/>
    <x:col min="4" max="4" width="75" hidden="0" customWidth="1"/>
    <x:col min="5" max="5" width="26" hidden="0" customWidth="1"/>
    <x:col min="6" max="6" width="16" hidden="0" customWidth="1"/>
  </x:cols>
  <x:sheetData>
    <x:row r="1" ht="32" customHeight="1">
      <x:c r="A1" s="3" t="str">
        <x:v>APPROVED DECISION LINEAGE</x:v>
      </x:c>
      <x:c r="B1" s="3"/>
      <x:c r="C1" s="3"/>
      <x:c r="D1" s="3"/>
      <x:c r="E1" s="3"/>
      <x:c r="F1" s="3"/>
    </x:row>
    <x:row r="2" ht="34" customHeight="1">
      <x:c r="A2" s="7" t="str">
        <x:v>Q1–Q69 reflect explicit decisions; Q70–Q79 are delegated design selections. No source conversation is replaced by unreviewed tracker edits.</x:v>
      </x:c>
      <x:c r="B2" s="7"/>
      <x:c r="C2" s="7"/>
      <x:c r="D2" s="7"/>
      <x:c r="E2" s="7"/>
      <x:c r="F2" s="7"/>
    </x:row>
    <x:row r="4" ht="30" customHeight="1">
      <x:c r="A4" s="12" t="str">
        <x:v>Decision</x:v>
      </x:c>
      <x:c r="B4" s="12" t="str">
        <x:v>Authority</x:v>
      </x:c>
      <x:c r="C4" s="12" t="str">
        <x:v>Domain</x:v>
      </x:c>
      <x:c r="D4" s="12" t="str">
        <x:v>Decision statement</x:v>
      </x:c>
      <x:c r="E4" s="12" t="str">
        <x:v>Status</x:v>
      </x:c>
      <x:c r="F4" s="12" t="str">
        <x:v>Requirement</x:v>
      </x:c>
    </x:row>
    <x:row r="5" ht="78" customHeight="1">
      <x:c r="A5" s="17" t="str">
        <x:v>Q1</x:v>
      </x:c>
      <x:c r="B5" s="17" t="str">
        <x:v>Explicit user decision</x:v>
      </x:c>
      <x:c r="C5" s="17" t="str">
        <x:v>product</x:v>
      </x:c>
      <x:c r="D5" s="17" t="str">
        <x:v>Personal-first with near-term multi-user commercialization; preserve tenant and deployment foundations from the start.</x:v>
      </x:c>
      <x:c r="E5" s="17" t="str">
        <x:v>Accepted planning baseline</x:v>
      </x:c>
      <x:c r="F5" s="17" t="str">
        <x:v>R001</x:v>
      </x:c>
    </x:row>
    <x:row r="6" ht="78" customHeight="1">
      <x:c r="A6" s="17" t="str">
        <x:v>Q2</x:v>
      </x:c>
      <x:c r="B6" s="17" t="str">
        <x:v>Explicit user decision</x:v>
      </x:c>
      <x:c r="C6" s="17" t="str">
        <x:v>product</x:v>
      </x:c>
      <x:c r="D6" s="17" t="str">
        <x:v>Primary purpose is portfolio-aware decisions plus frequent trading signals.</x:v>
      </x:c>
      <x:c r="E6" s="17" t="str">
        <x:v>Accepted planning baseline</x:v>
      </x:c>
      <x:c r="F6" s="17" t="str">
        <x:v>R002</x:v>
      </x:c>
    </x:row>
    <x:row r="7" ht="78" customHeight="1">
      <x:c r="A7" s="17" t="str">
        <x:v>Q3</x:v>
      </x:c>
      <x:c r="B7" s="17" t="str">
        <x:v>Explicit user decision</x:v>
      </x:c>
      <x:c r="C7" s="17" t="str">
        <x:v>data</x:v>
      </x:c>
      <x:c r="D7" s="17" t="str">
        <x:v>A useful no-paid-market-data baseline must not require paid AI; hosting and optional providers are separate.</x:v>
      </x:c>
      <x:c r="E7" s="17" t="str">
        <x:v>Accepted planning baseline</x:v>
      </x:c>
      <x:c r="F7" s="17" t="str">
        <x:v>R003</x:v>
      </x:c>
    </x:row>
    <x:row r="8" ht="78" customHeight="1">
      <x:c r="A8" s="17" t="str">
        <x:v>Q4</x:v>
      </x:c>
      <x:c r="B8" s="17" t="str">
        <x:v>Explicit user decision</x:v>
      </x:c>
      <x:c r="C8" s="17" t="str">
        <x:v>data</x:v>
      </x:c>
      <x:c r="D8" s="17" t="str">
        <x:v>Mandatory discovery is US-listed stocks and ETFs with currency-aware accounts.</x:v>
      </x:c>
      <x:c r="E8" s="17" t="str">
        <x:v>Accepted planning baseline</x:v>
      </x:c>
      <x:c r="F8" s="17" t="str">
        <x:v>R004</x:v>
      </x:c>
    </x:row>
    <x:row r="9" ht="78" customHeight="1">
      <x:c r="A9" s="17" t="str">
        <x:v>Q5</x:v>
      </x:c>
      <x:c r="B9" s="17" t="str">
        <x:v>Explicit user decision</x:v>
      </x:c>
      <x:c r="C9" s="17" t="str">
        <x:v>security</x:v>
      </x:c>
      <x:c r="D9" s="17" t="str">
        <x:v>First release proposes specific actions but never submits, modifies or cancels broker orders.</x:v>
      </x:c>
      <x:c r="E9" s="17" t="str">
        <x:v>Accepted planning baseline</x:v>
      </x:c>
      <x:c r="F9" s="17" t="str">
        <x:v>R005</x:v>
      </x:c>
    </x:row>
    <x:row r="10" ht="78" customHeight="1">
      <x:c r="A10" s="17" t="str">
        <x:v>Q6</x:v>
      </x:c>
      <x:c r="B10" s="17" t="str">
        <x:v>Explicit user decision</x:v>
      </x:c>
      <x:c r="C10" s="17" t="str">
        <x:v>platform</x:v>
      </x:c>
      <x:c r="D10" s="17" t="str">
        <x:v>Both hosted and complete self-hosted editions are release requirements.</x:v>
      </x:c>
      <x:c r="E10" s="17" t="str">
        <x:v>Accepted planning baseline</x:v>
      </x:c>
      <x:c r="F10" s="17" t="str">
        <x:v>R006</x:v>
      </x:c>
    </x:row>
    <x:row r="11" ht="78" customHeight="1">
      <x:c r="A11" s="17" t="str">
        <x:v>Q7</x:v>
      </x:c>
      <x:c r="B11" s="17" t="str">
        <x:v>Explicit user decision</x:v>
      </x:c>
      <x:c r="C11" s="17" t="str">
        <x:v>compliance</x:v>
      </x:c>
      <x:c r="D11" s="17" t="str">
        <x:v>Initial commercial audience includes Canadian and US residents.</x:v>
      </x:c>
      <x:c r="E11" s="17" t="str">
        <x:v>Accepted planning baseline</x:v>
      </x:c>
      <x:c r="F11" s="17" t="str">
        <x:v>R007</x:v>
      </x:c>
    </x:row>
    <x:row r="12" ht="78" customHeight="1">
      <x:c r="A12" s="17" t="str">
        <x:v>Q8</x:v>
      </x:c>
      <x:c r="B12" s="17" t="str">
        <x:v>Explicit user decision</x:v>
      </x:c>
      <x:c r="C12" s="17" t="str">
        <x:v>strategies</x:v>
      </x:c>
      <x:c r="D12" s="17" t="str">
        <x:v>Intraday swing discovery plus optional same-day opportunities; no sub-minute scalping requirement.</x:v>
      </x:c>
      <x:c r="E12" s="17" t="str">
        <x:v>Accepted planning baseline</x:v>
      </x:c>
      <x:c r="F12" s="17" t="str">
        <x:v>R008</x:v>
      </x:c>
    </x:row>
    <x:row r="13" ht="78" customHeight="1">
      <x:c r="A13" s="17" t="str">
        <x:v>Q9</x:v>
      </x:c>
      <x:c r="B13" s="17" t="str">
        <x:v>Explicit user decision</x:v>
      </x:c>
      <x:c r="C13" s="17" t="str">
        <x:v>strategies</x:v>
      </x:c>
      <x:c r="D13" s="17" t="str">
        <x:v>Frequent evaluation means timely qualifying changes, not a quota of trades.</x:v>
      </x:c>
      <x:c r="E13" s="17" t="str">
        <x:v>Accepted planning baseline</x:v>
      </x:c>
      <x:c r="F13" s="17" t="str">
        <x:v>R009</x:v>
      </x:c>
    </x:row>
    <x:row r="14" ht="78" customHeight="1">
      <x:c r="A14" s="17" t="str">
        <x:v>Q10</x:v>
      </x:c>
      <x:c r="B14" s="17" t="str">
        <x:v>Explicit user decision</x:v>
      </x:c>
      <x:c r="C14" s="17" t="str">
        <x:v>risk</x:v>
      </x:c>
      <x:c r="D14" s="17" t="str">
        <x:v>Separate investing and trading allocations with portfolio-wide limits.</x:v>
      </x:c>
      <x:c r="E14" s="17" t="str">
        <x:v>Accepted planning baseline</x:v>
      </x:c>
      <x:c r="F14" s="17" t="str">
        <x:v>R010</x:v>
      </x:c>
    </x:row>
    <x:row r="15" ht="78" customHeight="1">
      <x:c r="A15" s="17" t="str">
        <x:v>Q11</x:v>
      </x:c>
      <x:c r="B15" s="17" t="str">
        <x:v>Explicit user decision</x:v>
      </x:c>
      <x:c r="C15" s="17" t="str">
        <x:v>data</x:v>
      </x:c>
      <x:c r="D15" s="17" t="str">
        <x:v>Free mode may require a user-connected free provider account/key.</x:v>
      </x:c>
      <x:c r="E15" s="17" t="str">
        <x:v>Accepted planning baseline</x:v>
      </x:c>
      <x:c r="F15" s="17" t="str">
        <x:v>R011</x:v>
      </x:c>
    </x:row>
    <x:row r="16" ht="78" customHeight="1">
      <x:c r="A16" s="17" t="str">
        <x:v>Q12</x:v>
      </x:c>
      <x:c r="B16" s="17" t="str">
        <x:v>Explicit user decision</x:v>
      </x:c>
      <x:c r="C16" s="17" t="str">
        <x:v>portfolio</x:v>
      </x:c>
      <x:c r="D16" s="17" t="str">
        <x:v>Stale or unreconciled holdings/cash block affected portfolio-specific sizing.</x:v>
      </x:c>
      <x:c r="E16" s="17" t="str">
        <x:v>Accepted planning baseline</x:v>
      </x:c>
      <x:c r="F16" s="17" t="str">
        <x:v>R012</x:v>
      </x:c>
    </x:row>
    <x:row r="17" ht="78" customHeight="1">
      <x:c r="A17" s="17" t="str">
        <x:v>Q13</x:v>
      </x:c>
      <x:c r="B17" s="17" t="str">
        <x:v>Explicit user decision</x:v>
      </x:c>
      <x:c r="C17" s="17" t="str">
        <x:v>platform</x:v>
      </x:c>
      <x:c r="D17" s="17" t="str">
        <x:v>Independent open-source core and complete self-hosted application; no mandatory vendor-operated service.</x:v>
      </x:c>
      <x:c r="E17" s="17" t="str">
        <x:v>Accepted planning baseline</x:v>
      </x:c>
      <x:c r="F17" s="17" t="str">
        <x:v>R013</x:v>
      </x:c>
    </x:row>
    <x:row r="18" ht="78" customHeight="1">
      <x:c r="A18" s="17" t="str">
        <x:v>Q14</x:v>
      </x:c>
      <x:c r="B18" s="17" t="str">
        <x:v>Explicit user decision</x:v>
      </x:c>
      <x:c r="C18" s="17" t="str">
        <x:v>data</x:v>
      </x:c>
      <x:c r="D18" s="17" t="str">
        <x:v>Prioritized live monitoring plus broader scheduled discovery; tracked and streamed universes differ.</x:v>
      </x:c>
      <x:c r="E18" s="17" t="str">
        <x:v>Accepted planning baseline</x:v>
      </x:c>
      <x:c r="F18" s="17" t="str">
        <x:v>R014</x:v>
      </x:c>
    </x:row>
    <x:row r="19" ht="78" customHeight="1">
      <x:c r="A19" s="17" t="str">
        <x:v>Q15</x:v>
      </x:c>
      <x:c r="B19" s="17" t="str">
        <x:v>Explicit user decision</x:v>
      </x:c>
      <x:c r="C19" s="17" t="str">
        <x:v>ai</x:v>
      </x:c>
      <x:c r="D19" s="17" t="str">
        <x:v>Auditable rules and AI research both originate proposals; a separate agent evaluates actionable AI-mode proposals.</x:v>
      </x:c>
      <x:c r="E19" s="17" t="str">
        <x:v>Accepted planning baseline</x:v>
      </x:c>
      <x:c r="F19" s="17" t="str">
        <x:v>R015</x:v>
      </x:c>
    </x:row>
    <x:row r="20" ht="78" customHeight="1">
      <x:c r="A20" s="17" t="str">
        <x:v>Q16</x:v>
      </x:c>
      <x:c r="B20" s="17" t="str">
        <x:v>Explicit user decision</x:v>
      </x:c>
      <x:c r="C20" s="17" t="str">
        <x:v>onboarding</x:v>
      </x:c>
      <x:c r="D20" s="17" t="str">
        <x:v>MCQs and necessary numeric/date inputs propose a policy/strategy shortlist for explicit runtime approval.</x:v>
      </x:c>
      <x:c r="E20" s="17" t="str">
        <x:v>Accepted planning baseline</x:v>
      </x:c>
      <x:c r="F20" s="17" t="str">
        <x:v>R016</x:v>
      </x:c>
    </x:row>
    <x:row r="21" ht="78" customHeight="1">
      <x:c r="A21" s="17" t="str">
        <x:v>Q17</x:v>
      </x:c>
      <x:c r="B21" s="17" t="str">
        <x:v>Explicit user decision</x:v>
      </x:c>
      <x:c r="C21" s="17" t="str">
        <x:v>options</x:v>
      </x:c>
      <x:c r="D21" s="17" t="str">
        <x:v>Opt-in first-release options include long calls/puts, covered calls, cash-secured puts and defined-risk verticals.</x:v>
      </x:c>
      <x:c r="E21" s="17" t="str">
        <x:v>Accepted planning baseline</x:v>
      </x:c>
      <x:c r="F21" s="17" t="str">
        <x:v>R017</x:v>
      </x:c>
    </x:row>
    <x:row r="22" ht="78" customHeight="1">
      <x:c r="A22" s="17" t="str">
        <x:v>Q18</x:v>
      </x:c>
      <x:c r="B22" s="17" t="str">
        <x:v>Explicit user decision</x:v>
      </x:c>
      <x:c r="C22" s="17" t="str">
        <x:v>ai</x:v>
      </x:c>
      <x:c r="D22" s="17" t="str">
        <x:v>API and subscription access use provider-specific officially permitted routes and deployment qualification.</x:v>
      </x:c>
      <x:c r="E22" s="17" t="str">
        <x:v>Accepted planning baseline</x:v>
      </x:c>
      <x:c r="F22" s="17" t="str">
        <x:v>R018</x:v>
      </x:c>
    </x:row>
    <x:row r="23" ht="78" customHeight="1">
      <x:c r="A23" s="17" t="str">
        <x:v>Q19</x:v>
      </x:c>
      <x:c r="B23" s="17" t="str">
        <x:v>Explicit user decision</x:v>
      </x:c>
      <x:c r="C23" s="17" t="str">
        <x:v>ai</x:v>
      </x:c>
      <x:c r="D23" s="17" t="str">
        <x:v>Mandatory evidence/calculation verification is tiered; separate model review is required for AI-mode actions.</x:v>
      </x:c>
      <x:c r="E23" s="17" t="str">
        <x:v>Accepted planning baseline</x:v>
      </x:c>
      <x:c r="F23" s="17" t="str">
        <x:v>R019</x:v>
      </x:c>
    </x:row>
    <x:row r="24" ht="78" customHeight="1">
      <x:c r="A24" s="17" t="str">
        <x:v>Q20</x:v>
      </x:c>
      <x:c r="B24" s="17" t="str">
        <x:v>Explicit user decision</x:v>
      </x:c>
      <x:c r="C24" s="17" t="str">
        <x:v>proposals</x:v>
      </x:c>
      <x:c r="D24" s="17" t="str">
        <x:v>Action proposals expire and have invalidation conditions plus preserved version history.</x:v>
      </x:c>
      <x:c r="E24" s="17" t="str">
        <x:v>Accepted planning baseline</x:v>
      </x:c>
      <x:c r="F24" s="17" t="str">
        <x:v>R020</x:v>
      </x:c>
    </x:row>
    <x:row r="25" ht="78" customHeight="1">
      <x:c r="A25" s="17" t="str">
        <x:v>Q21</x:v>
      </x:c>
      <x:c r="B25" s="17" t="str">
        <x:v>Explicit user decision</x:v>
      </x:c>
      <x:c r="C25" s="17" t="str">
        <x:v>compliance</x:v>
      </x:c>
      <x:c r="D25" s="17" t="str">
        <x:v>Commercial legal and provider-rights clearance are release gates.</x:v>
      </x:c>
      <x:c r="E25" s="17" t="str">
        <x:v>Accepted planning baseline</x:v>
      </x:c>
      <x:c r="F25" s="17" t="str">
        <x:v>R021</x:v>
      </x:c>
    </x:row>
    <x:row r="26" ht="78" customHeight="1">
      <x:c r="A26" s="17" t="str">
        <x:v>Q22</x:v>
      </x:c>
      <x:c r="B26" s="17" t="str">
        <x:v>Explicit user decision</x:v>
      </x:c>
      <x:c r="C26" s="17" t="str">
        <x:v>platform</x:v>
      </x:c>
      <x:c r="D26" s="17" t="str">
        <x:v>Apache-2.0 is the selected application license, superseding AGPL proposals.</x:v>
      </x:c>
      <x:c r="E26" s="17" t="str">
        <x:v>Accepted planning baseline</x:v>
      </x:c>
      <x:c r="F26" s="17" t="str">
        <x:v>R022</x:v>
      </x:c>
    </x:row>
    <x:row r="27" ht="78" customHeight="1">
      <x:c r="A27" s="17" t="str">
        <x:v>Q23</x:v>
      </x:c>
      <x:c r="B27" s="17" t="str">
        <x:v>Explicit user decision</x:v>
      </x:c>
      <x:c r="C27" s="17" t="str">
        <x:v>ai</x:v>
      </x:c>
      <x:c r="D27" s="17" t="str">
        <x:v>Support audited rules-only and AI-enabled modes; evaluator covers both proposal origins in AI mode.</x:v>
      </x:c>
      <x:c r="E27" s="17" t="str">
        <x:v>Accepted planning baseline</x:v>
      </x:c>
      <x:c r="F27" s="17" t="str">
        <x:v>R023</x:v>
      </x:c>
    </x:row>
    <x:row r="28" ht="78" customHeight="1">
      <x:c r="A28" s="17" t="str">
        <x:v>Q24</x:v>
      </x:c>
      <x:c r="B28" s="17" t="str">
        <x:v>Explicit user decision</x:v>
      </x:c>
      <x:c r="C28" s="17" t="str">
        <x:v>research</x:v>
      </x:c>
      <x:c r="D28" s="17" t="str">
        <x:v>AI proposals qualify through evaluated research workflows and proposal-specific checks, not necessarily a backtested rule.</x:v>
      </x:c>
      <x:c r="E28" s="17" t="str">
        <x:v>Accepted planning baseline</x:v>
      </x:c>
      <x:c r="F28" s="17" t="str">
        <x:v>R024</x:v>
      </x:c>
    </x:row>
    <x:row r="29" ht="78" customHeight="1">
      <x:c r="A29" s="17" t="str">
        <x:v>Q25</x:v>
      </x:c>
      <x:c r="B29" s="17" t="str">
        <x:v>Explicit user decision</x:v>
      </x:c>
      <x:c r="C29" s="17" t="str">
        <x:v>ai</x:v>
      </x:c>
      <x:c r="D29" s="17" t="str">
        <x:v>Evaluator is a separate run/context; a different model family is optional and empirically justified.</x:v>
      </x:c>
      <x:c r="E29" s="17" t="str">
        <x:v>Accepted planning baseline</x:v>
      </x:c>
      <x:c r="F29" s="17" t="str">
        <x:v>R025</x:v>
      </x:c>
    </x:row>
    <x:row r="30" ht="78" customHeight="1">
      <x:c r="A30" s="17" t="str">
        <x:v>Q26</x:v>
      </x:c>
      <x:c r="B30" s="17" t="str">
        <x:v>Explicit user decision</x:v>
      </x:c>
      <x:c r="C30" s="17" t="str">
        <x:v>ai</x:v>
      </x:c>
      <x:c r="D30" s="17" t="str">
        <x:v>Material factual/evidence conflicts and hard risk failures block; forecast differences may be disclosed; revisions bounded.</x:v>
      </x:c>
      <x:c r="E30" s="17" t="str">
        <x:v>Accepted planning baseline</x:v>
      </x:c>
      <x:c r="F30" s="17" t="str">
        <x:v>R026</x:v>
      </x:c>
    </x:row>
    <x:row r="31" ht="78" customHeight="1">
      <x:c r="A31" s="17" t="str">
        <x:v>Q27</x:v>
      </x:c>
      <x:c r="B31" s="17" t="str">
        <x:v>Explicit user decision</x:v>
      </x:c>
      <x:c r="C31" s="17" t="str">
        <x:v>ai</x:v>
      </x:c>
      <x:c r="D31" s="17" t="str">
        <x:v>Frequent deterministic monitoring; AI on meaningful events/schedules/requests within budgets and deadlines.</x:v>
      </x:c>
      <x:c r="E31" s="17" t="str">
        <x:v>Accepted planning baseline</x:v>
      </x:c>
      <x:c r="F31" s="17" t="str">
        <x:v>R027</x:v>
      </x:c>
    </x:row>
    <x:row r="32" ht="78" customHeight="1">
      <x:c r="A32" s="17" t="str">
        <x:v>Q28</x:v>
      </x:c>
      <x:c r="B32" s="17" t="str">
        <x:v>Explicit user decision</x:v>
      </x:c>
      <x:c r="C32" s="17" t="str">
        <x:v>improvement</x:v>
      </x:c>
      <x:c r="D32" s="17" t="str">
        <x:v>All six improvement targets are in scope, including code and the optimizer itself.</x:v>
      </x:c>
      <x:c r="E32" s="17" t="str">
        <x:v>Accepted planning baseline</x:v>
      </x:c>
      <x:c r="F32" s="17" t="str">
        <x:v>R028</x:v>
      </x:c>
    </x:row>
    <x:row r="33" ht="78" customHeight="1">
      <x:c r="A33" s="17" t="str">
        <x:v>Q29</x:v>
      </x:c>
      <x:c r="B33" s="17" t="str">
        <x:v>Explicit user decision</x:v>
      </x:c>
      <x:c r="C33" s="17" t="str">
        <x:v>improvement</x:v>
      </x:c>
      <x:c r="D33" s="17" t="str">
        <x:v>Promotion uses predeclared scorecards with hard risk/privacy/evidence constraints, not recent returns alone.</x:v>
      </x:c>
      <x:c r="E33" s="17" t="str">
        <x:v>Accepted planning baseline</x:v>
      </x:c>
      <x:c r="F33" s="17" t="str">
        <x:v>R029</x:v>
      </x:c>
    </x:row>
    <x:row r="34" ht="78" customHeight="1">
      <x:c r="A34" s="17" t="str">
        <x:v>Q30</x:v>
      </x:c>
      <x:c r="B34" s="17" t="str">
        <x:v>Explicit user decision</x:v>
      </x:c>
      <x:c r="C34" s="17" t="str">
        <x:v>improvement</x:v>
      </x:c>
      <x:c r="D34" s="17" t="str">
        <x:v>Autonomous authorized experiments, human-controlled promotion of investment-affecting or code changes.</x:v>
      </x:c>
      <x:c r="E34" s="17" t="str">
        <x:v>Accepted planning baseline</x:v>
      </x:c>
      <x:c r="F34" s="17" t="str">
        <x:v>R030</x:v>
      </x:c>
    </x:row>
    <x:row r="35" ht="78" customHeight="1">
      <x:c r="A35" s="17" t="str">
        <x:v>Q31</x:v>
      </x:c>
      <x:c r="B35" s="17" t="str">
        <x:v>Explicit user decision</x:v>
      </x:c>
      <x:c r="C35" s="17" t="str">
        <x:v>privacy</x:v>
      </x:c>
      <x:c r="D35" s="17" t="str">
        <x:v>Private learning per user/installation by default; cross-user use requires separate consent and permitted data.</x:v>
      </x:c>
      <x:c r="E35" s="17" t="str">
        <x:v>Accepted planning baseline</x:v>
      </x:c>
      <x:c r="F35" s="17" t="str">
        <x:v>R031</x:v>
      </x:c>
    </x:row>
    <x:row r="36" ht="78" customHeight="1">
      <x:c r="A36" s="17" t="str">
        <x:v>Q32</x:v>
      </x:c>
      <x:c r="B36" s="17" t="str">
        <x:v>Explicit user decision</x:v>
      </x:c>
      <x:c r="C36" s="17" t="str">
        <x:v>improvement</x:v>
      </x:c>
      <x:c r="D36" s="17" t="str">
        <x:v>Separate experiment resource budgets; current monitoring and verification take priority.</x:v>
      </x:c>
      <x:c r="E36" s="17" t="str">
        <x:v>Accepted planning baseline</x:v>
      </x:c>
      <x:c r="F36" s="17" t="str">
        <x:v>R032</x:v>
      </x:c>
    </x:row>
    <x:row r="37" ht="78" customHeight="1">
      <x:c r="A37" s="17" t="str">
        <x:v>Q33</x:v>
      </x:c>
      <x:c r="B37" s="17" t="str">
        <x:v>Explicit user decision</x:v>
      </x:c>
      <x:c r="C37" s="17" t="str">
        <x:v>improvement</x:v>
      </x:c>
      <x:c r="D37" s="17" t="str">
        <x:v>All six improvement areas, code-level change and recursive optimizer change must work at first release.</x:v>
      </x:c>
      <x:c r="E37" s="17" t="str">
        <x:v>Accepted planning baseline</x:v>
      </x:c>
      <x:c r="F37" s="17" t="str">
        <x:v>R033</x:v>
      </x:c>
    </x:row>
    <x:row r="38" ht="78" customHeight="1">
      <x:c r="A38" s="17" t="str">
        <x:v>Q34</x:v>
      </x:c>
      <x:c r="B38" s="17" t="str">
        <x:v>Explicit user decision</x:v>
      </x:c>
      <x:c r="C38" s="17" t="str">
        <x:v>governance</x:v>
      </x:c>
      <x:c r="D38" s="17" t="str">
        <x:v>Material changes to enabled investment strategies require user adoption after release approval.</x:v>
      </x:c>
      <x:c r="E38" s="17" t="str">
        <x:v>Accepted planning baseline</x:v>
      </x:c>
      <x:c r="F38" s="17" t="str">
        <x:v>R034</x:v>
      </x:c>
    </x:row>
    <x:row r="39" ht="78" customHeight="1">
      <x:c r="A39" s="17" t="str">
        <x:v>Q35</x:v>
      </x:c>
      <x:c r="B39" s="17" t="str">
        <x:v>Explicit user decision</x:v>
      </x:c>
      <x:c r="C39" s="17" t="str">
        <x:v>operations</x:v>
      </x:c>
      <x:c r="D39" s="17" t="str">
        <x:v>Personal pilot incremental inference ceiling USD100/month; improvement maximum 20 percent (USD20).</x:v>
      </x:c>
      <x:c r="E39" s="17" t="str">
        <x:v>Accepted planning baseline</x:v>
      </x:c>
      <x:c r="F39" s="17" t="str">
        <x:v>R035</x:v>
      </x:c>
    </x:row>
    <x:row r="40" ht="78" customHeight="1">
      <x:c r="A40" s="17" t="str">
        <x:v>Q36</x:v>
      </x:c>
      <x:c r="B40" s="17" t="str">
        <x:v>Explicit user decision</x:v>
      </x:c>
      <x:c r="C40" s="17" t="str">
        <x:v>platform</x:v>
      </x:c>
      <x:c r="D40" s="17" t="str">
        <x:v>Single-machine container self-hosting without required Kubernetes/GPU/vendor service.</x:v>
      </x:c>
      <x:c r="E40" s="17" t="str">
        <x:v>Accepted planning baseline</x:v>
      </x:c>
      <x:c r="F40" s="17" t="str">
        <x:v>R036</x:v>
      </x:c>
    </x:row>
    <x:row r="41" ht="78" customHeight="1">
      <x:c r="A41" s="17" t="str">
        <x:v>Q37</x:v>
      </x:c>
      <x:c r="B41" s="17" t="str">
        <x:v>Explicit user decision</x:v>
      </x:c>
      <x:c r="C41" s="17" t="str">
        <x:v>improvement</x:v>
      </x:c>
      <x:c r="D41" s="17" t="str">
        <x:v>Demonstrate V0 optimizer proposing V1, independent evaluation, human promotion, then V1 running next cycle.</x:v>
      </x:c>
      <x:c r="E41" s="17" t="str">
        <x:v>Accepted planning baseline</x:v>
      </x:c>
      <x:c r="F41" s="17" t="str">
        <x:v>R037</x:v>
      </x:c>
    </x:row>
    <x:row r="42" ht="78" customHeight="1">
      <x:c r="A42" s="17" t="str">
        <x:v>Q38</x:v>
      </x:c>
      <x:c r="B42" s="17" t="str">
        <x:v>Explicit user decision</x:v>
      </x:c>
      <x:c r="C42" s="17" t="str">
        <x:v>security</x:v>
      </x:c>
      <x:c r="D42" s="17" t="str">
        <x:v>Generated code is isolated from production secrets, DB writes, unrestricted network and host control.</x:v>
      </x:c>
      <x:c r="E42" s="17" t="str">
        <x:v>Accepted planning baseline</x:v>
      </x:c>
      <x:c r="F42" s="17" t="str">
        <x:v>R038</x:v>
      </x:c>
    </x:row>
    <x:row r="43" ht="78" customHeight="1">
      <x:c r="A43" s="17" t="str">
        <x:v>Q39</x:v>
      </x:c>
      <x:c r="B43" s="17" t="str">
        <x:v>Explicit user decision</x:v>
      </x:c>
      <x:c r="C43" s="17" t="str">
        <x:v>improvement</x:v>
      </x:c>
      <x:c r="D43" s="17" t="str">
        <x:v>User learning is tenant-scoped; shared executable/optimizer changes are installation/release scoped.</x:v>
      </x:c>
      <x:c r="E43" s="17" t="str">
        <x:v>Accepted planning baseline</x:v>
      </x:c>
      <x:c r="F43" s="17" t="str">
        <x:v>R039</x:v>
      </x:c>
    </x:row>
    <x:row r="44" ht="78" customHeight="1">
      <x:c r="A44" s="17" t="str">
        <x:v>Q40</x:v>
      </x:c>
      <x:c r="B44" s="17" t="str">
        <x:v>Explicit user decision</x:v>
      </x:c>
      <x:c r="C44" s="17" t="str">
        <x:v>research</x:v>
      </x:c>
      <x:c r="D44" s="17" t="str">
        <x:v>Open evaluation framework and permitted starter corpus; distinguish synthetic/historical/prospective evidence.</x:v>
      </x:c>
      <x:c r="E44" s="17" t="str">
        <x:v>Accepted planning baseline</x:v>
      </x:c>
      <x:c r="F44" s="17" t="str">
        <x:v>R040</x:v>
      </x:c>
    </x:row>
    <x:row r="45" ht="78" customHeight="1">
      <x:c r="A45" s="17" t="str">
        <x:v>Q41</x:v>
      </x:c>
      <x:c r="B45" s="17" t="str">
        <x:v>Explicit user decision</x:v>
      </x:c>
      <x:c r="C45" s="17" t="str">
        <x:v>product</x:v>
      </x:c>
      <x:c r="D45" s="17" t="str">
        <x:v>Full scope and release gates take precedence over launch date; budget limits throughput rather than silently cutting scope.</x:v>
      </x:c>
      <x:c r="E45" s="17" t="str">
        <x:v>Accepted planning baseline</x:v>
      </x:c>
      <x:c r="F45" s="17" t="str">
        <x:v>R041</x:v>
      </x:c>
    </x:row>
    <x:row r="46" ht="78" customHeight="1">
      <x:c r="A46" s="17" t="str">
        <x:v>Q42</x:v>
      </x:c>
      <x:c r="B46" s="17" t="str">
        <x:v>Explicit user decision</x:v>
      </x:c>
      <x:c r="C46" s="17" t="str">
        <x:v>portfolio</x:v>
      </x:c>
      <x:c r="D46" s="17" t="str">
        <x:v>Partial portfolios allowed with scoped conclusions; outside-coverage assets retained with gaps.</x:v>
      </x:c>
      <x:c r="E46" s="17" t="str">
        <x:v>Accepted planning baseline</x:v>
      </x:c>
      <x:c r="F46" s="17" t="str">
        <x:v>R042</x:v>
      </x:c>
    </x:row>
    <x:row r="47" ht="78" customHeight="1">
      <x:c r="A47" s="17" t="str">
        <x:v>Q43</x:v>
      </x:c>
      <x:c r="B47" s="17" t="str">
        <x:v>Explicit user decision</x:v>
      </x:c>
      <x:c r="C47" s="17" t="str">
        <x:v>portfolio</x:v>
      </x:c>
      <x:c r="D47" s="17" t="str">
        <x:v>Multiple accounts/currencies with account-specific spendability and consolidated risk.</x:v>
      </x:c>
      <x:c r="E47" s="17" t="str">
        <x:v>Accepted planning baseline</x:v>
      </x:c>
      <x:c r="F47" s="17" t="str">
        <x:v>R043</x:v>
      </x:c>
    </x:row>
    <x:row r="48" ht="78" customHeight="1">
      <x:c r="A48" s="17" t="str">
        <x:v>Q44</x:v>
      </x:c>
      <x:c r="B48" s="17" t="str">
        <x:v>Explicit user decision</x:v>
      </x:c>
      <x:c r="C48" s="17" t="str">
        <x:v>risk</x:v>
      </x:c>
      <x:c r="D48" s="17" t="str">
        <x:v>Stock/ETF proposals cash-funded long-only, nonleveraged/noninverse; approved options remain.</x:v>
      </x:c>
      <x:c r="E48" s="17" t="str">
        <x:v>Accepted planning baseline</x:v>
      </x:c>
      <x:c r="F48" s="17" t="str">
        <x:v>R044</x:v>
      </x:c>
    </x:row>
    <x:row r="49" ht="78" customHeight="1">
      <x:c r="A49" s="17" t="str">
        <x:v>Q45</x:v>
      </x:c>
      <x:c r="B49" s="17" t="str">
        <x:v>Explicit user decision</x:v>
      </x:c>
      <x:c r="C49" s="17" t="str">
        <x:v>evidence</x:v>
      </x:c>
      <x:c r="D49" s="17" t="str">
        <x:v>Primary and permitted independent sources; optional social inputs clearly distinguished from facts.</x:v>
      </x:c>
      <x:c r="E49" s="17" t="str">
        <x:v>Accepted planning baseline</x:v>
      </x:c>
      <x:c r="F49" s="17" t="str">
        <x:v>R045</x:v>
      </x:c>
    </x:row>
    <x:row r="50" ht="78" customHeight="1">
      <x:c r="A50" s="17" t="str">
        <x:v>Q46</x:v>
      </x:c>
      <x:c r="B50" s="17" t="str">
        <x:v>Explicit user decision</x:v>
      </x:c>
      <x:c r="C50" s="17" t="str">
        <x:v>portfolio</x:v>
      </x:c>
      <x:c r="D50" s="17" t="str">
        <x:v>Tax-relevant records and warnings, not a comprehensive tax engine or automated tax-loss harvesting.</x:v>
      </x:c>
      <x:c r="E50" s="17" t="str">
        <x:v>Accepted planning baseline</x:v>
      </x:c>
      <x:c r="F50" s="17" t="str">
        <x:v>R046</x:v>
      </x:c>
    </x:row>
    <x:row r="51" ht="78" customHeight="1">
      <x:c r="A51" s="17" t="str">
        <x:v>Q47</x:v>
      </x:c>
      <x:c r="B51" s="17" t="str">
        <x:v>Explicit user decision</x:v>
      </x:c>
      <x:c r="C51" s="17" t="str">
        <x:v>ux</x:v>
      </x:c>
      <x:c r="D51" s="17" t="str">
        <x:v>Responsive web, in-app feed, configurable email/browser push; no native mobile/SMS launch requirement.</x:v>
      </x:c>
      <x:c r="E51" s="17" t="str">
        <x:v>Accepted planning baseline</x:v>
      </x:c>
      <x:c r="F51" s="17" t="str">
        <x:v>R047</x:v>
      </x:c>
    </x:row>
    <x:row r="52" ht="78" customHeight="1">
      <x:c r="A52" s="17" t="str">
        <x:v>Q48</x:v>
      </x:c>
      <x:c r="B52" s="17" t="str">
        <x:v>Explicit user decision</x:v>
      </x:c>
      <x:c r="C52" s="17" t="str">
        <x:v>integrations</x:v>
      </x:c>
      <x:c r="D52" s="17" t="str">
        <x:v>Small named set of tested read-only broker sync routes; CSV/manual fallback.</x:v>
      </x:c>
      <x:c r="E52" s="17" t="str">
        <x:v>Accepted planning baseline</x:v>
      </x:c>
      <x:c r="F52" s="17" t="str">
        <x:v>R048</x:v>
      </x:c>
    </x:row>
    <x:row r="53" ht="78" customHeight="1">
      <x:c r="A53" s="17" t="str">
        <x:v>Q49</x:v>
      </x:c>
      <x:c r="B53" s="17" t="str">
        <x:v>Explicit user decision</x:v>
      </x:c>
      <x:c r="C53" s="17" t="str">
        <x:v>risk</x:v>
      </x:c>
      <x:c r="D53" s="17" t="str">
        <x:v>Proposals form jointly feasible sets with explicit alternatives and internal capital commitments.</x:v>
      </x:c>
      <x:c r="E53" s="17" t="str">
        <x:v>Accepted planning baseline</x:v>
      </x:c>
      <x:c r="F53" s="17" t="str">
        <x:v>R049</x:v>
      </x:c>
    </x:row>
    <x:row r="54" ht="78" customHeight="1">
      <x:c r="A54" s="17" t="str">
        <x:v>Q50</x:v>
      </x:c>
      <x:c r="B54" s="17" t="str">
        <x:v>Explicit user decision</x:v>
      </x:c>
      <x:c r="C54" s="17" t="str">
        <x:v>strategies</x:v>
      </x:c>
      <x:c r="D54" s="17" t="str">
        <x:v>Initial actionable intraday proposals are regular-session only; research may run outside session.</x:v>
      </x:c>
      <x:c r="E54" s="17" t="str">
        <x:v>Accepted planning baseline</x:v>
      </x:c>
      <x:c r="F54" s="17" t="str">
        <x:v>R050</x:v>
      </x:c>
    </x:row>
    <x:row r="55" ht="78" customHeight="1">
      <x:c r="A55" s="17" t="str">
        <x:v>Q51</x:v>
      </x:c>
      <x:c r="B55" s="17" t="str">
        <x:v>Explicit user decision</x:v>
      </x:c>
      <x:c r="C55" s="17" t="str">
        <x:v>privacy</x:v>
      </x:c>
      <x:c r="D55" s="17" t="str">
        <x:v>Hosted/self-hosted migration is supported at first release.</x:v>
      </x:c>
      <x:c r="E55" s="17" t="str">
        <x:v>Accepted planning baseline</x:v>
      </x:c>
      <x:c r="F55" s="17" t="str">
        <x:v>R051</x:v>
      </x:c>
    </x:row>
    <x:row r="56" ht="78" customHeight="1">
      <x:c r="A56" s="17" t="str">
        <x:v>Q52</x:v>
      </x:c>
      <x:c r="B56" s="17" t="str">
        <x:v>Explicit user decision</x:v>
      </x:c>
      <x:c r="C56" s="17" t="str">
        <x:v>privacy</x:v>
      </x:c>
      <x:c r="D56" s="17" t="str">
        <x:v>Tamper-evident retained history, not indefinite private retention; explicit correction/deletion/backups.</x:v>
      </x:c>
      <x:c r="E56" s="17" t="str">
        <x:v>Accepted planning baseline</x:v>
      </x:c>
      <x:c r="F56" s="17" t="str">
        <x:v>R052</x:v>
      </x:c>
    </x:row>
    <x:row r="57" ht="78" customHeight="1">
      <x:c r="A57" s="17" t="str">
        <x:v>Q53</x:v>
      </x:c>
      <x:c r="B57" s="17" t="str">
        <x:v>Explicit user decision</x:v>
      </x:c>
      <x:c r="C57" s="17" t="str">
        <x:v>integrations</x:v>
      </x:c>
      <x:c r="D57" s="17" t="str">
        <x:v>CIBC import, Questrade/IBKR read-only sync, plus Wealthsimple sync and Yahoo CSV interoperability.</x:v>
      </x:c>
      <x:c r="E57" s="17" t="str">
        <x:v>Accepted planning baseline</x:v>
      </x:c>
      <x:c r="F57" s="17" t="str">
        <x:v>R053</x:v>
      </x:c>
    </x:row>
    <x:row r="58" ht="78" customHeight="1">
      <x:c r="A58" s="17" t="str">
        <x:v>Q54</x:v>
      </x:c>
      <x:c r="B58" s="17" t="str">
        <x:v>Explicit user decision</x:v>
      </x:c>
      <x:c r="C58" s="17" t="str">
        <x:v>operations</x:v>
      </x:c>
      <x:c r="D58" s="17" t="str">
        <x:v>Reference scale: 10 accounts, 250 instruments, 100000 records/user; hosted 100 users and 20 concurrent sessions.</x:v>
      </x:c>
      <x:c r="E58" s="17" t="str">
        <x:v>Accepted planning baseline</x:v>
      </x:c>
      <x:c r="F58" s="17" t="str">
        <x:v>R054</x:v>
      </x:c>
    </x:row>
    <x:row r="59" ht="78" customHeight="1">
      <x:c r="A59" s="17" t="str">
        <x:v>Q55</x:v>
      </x:c>
      <x:c r="B59" s="17" t="str">
        <x:v>Explicit user decision</x:v>
      </x:c>
      <x:c r="C59" s="17" t="str">
        <x:v>product</x:v>
      </x:c>
      <x:c r="D59" s="17" t="str">
        <x:v>Managed service pricing plus user-connected providers; independent self-hosted core and unbiased rankings.</x:v>
      </x:c>
      <x:c r="E59" s="17" t="str">
        <x:v>Accepted planning baseline</x:v>
      </x:c>
      <x:c r="F59" s="17" t="str">
        <x:v>R055</x:v>
      </x:c>
    </x:row>
    <x:row r="60" ht="78" customHeight="1">
      <x:c r="A60" s="17" t="str">
        <x:v>Q56</x:v>
      </x:c>
      <x:c r="B60" s="17" t="str">
        <x:v>Explicit user decision</x:v>
      </x:c>
      <x:c r="C60" s="17" t="str">
        <x:v>ux</x:v>
      </x:c>
      <x:c r="D60" s="17" t="str">
        <x:v>Dashboard-led portfolio/decision/research/governance workspaces; chat uses same verified state.</x:v>
      </x:c>
      <x:c r="E60" s="17" t="str">
        <x:v>Accepted planning baseline</x:v>
      </x:c>
      <x:c r="F60" s="17" t="str">
        <x:v>R056</x:v>
      </x:c>
    </x:row>
    <x:row r="61" ht="78" customHeight="1">
      <x:c r="A61" s="17" t="str">
        <x:v>Q57</x:v>
      </x:c>
      <x:c r="B61" s="17" t="str">
        <x:v>Explicit user decision</x:v>
      </x:c>
      <x:c r="C61" s="17" t="str">
        <x:v>integrations</x:v>
      </x:c>
      <x:c r="D61" s="17" t="str">
        <x:v>Yahoo tested CSV portfolio/watchlist import and compatible export; no auto-sync/data-adapter launch promise.</x:v>
      </x:c>
      <x:c r="E61" s="17" t="str">
        <x:v>Accepted planning baseline</x:v>
      </x:c>
      <x:c r="F61" s="17" t="str">
        <x:v>R057</x:v>
      </x:c>
    </x:row>
    <x:row r="62" ht="78" customHeight="1">
      <x:c r="A62" s="17" t="str">
        <x:v>Q58</x:v>
      </x:c>
      <x:c r="B62" s="17" t="str">
        <x:v>Explicit user decision</x:v>
      </x:c>
      <x:c r="C62" s="17" t="str">
        <x:v>portfolio</x:v>
      </x:c>
      <x:c r="D62" s="17" t="str">
        <x:v>Underlying accounts and data sources are separate; reconcile overlapping views without duplication.</x:v>
      </x:c>
      <x:c r="E62" s="17" t="str">
        <x:v>Accepted planning baseline</x:v>
      </x:c>
      <x:c r="F62" s="17" t="str">
        <x:v>R058</x:v>
      </x:c>
    </x:row>
    <x:row r="63" ht="78" customHeight="1">
      <x:c r="A63" s="17" t="str">
        <x:v>Q59</x:v>
      </x:c>
      <x:c r="B63" s="17" t="str">
        <x:v>Explicit user decision</x:v>
      </x:c>
      <x:c r="C63" s="17" t="str">
        <x:v>strategies</x:v>
      </x:c>
      <x:c r="D63" s="17" t="str">
        <x:v>All six versioned stock/ETF strategy families required; qualification status separate from catalogue inclusion.</x:v>
      </x:c>
      <x:c r="E63" s="17" t="str">
        <x:v>Accepted planning baseline</x:v>
      </x:c>
      <x:c r="F63" s="17" t="str">
        <x:v>R059</x:v>
      </x:c>
    </x:row>
    <x:row r="64" ht="78" customHeight="1">
      <x:c r="A64" s="17" t="str">
        <x:v>Q60</x:v>
      </x:c>
      <x:c r="B64" s="17" t="str">
        <x:v>Explicit user decision</x:v>
      </x:c>
      <x:c r="C64" s="17" t="str">
        <x:v>risk</x:v>
      </x:c>
      <x:c r="D64" s="17" t="str">
        <x:v>Conservative liquidity/spread/data/status-screened universe; optional speculative research cannot bypass gates.</x:v>
      </x:c>
      <x:c r="E64" s="17" t="str">
        <x:v>Accepted planning baseline</x:v>
      </x:c>
      <x:c r="F64" s="17" t="str">
        <x:v>R060</x:v>
      </x:c>
    </x:row>
    <x:row r="65" ht="78" customHeight="1">
      <x:c r="A65" s="17" t="str">
        <x:v>Q61</x:v>
      </x:c>
      <x:c r="B65" s="17" t="str">
        <x:v>Explicit user decision</x:v>
      </x:c>
      <x:c r="C65" s="17" t="str">
        <x:v>strategies</x:v>
      </x:c>
      <x:c r="D65" s="17" t="str">
        <x:v>Bounded versioned strategy configuration, not unrestricted hosted arbitrary-code or visual strategy builder.</x:v>
      </x:c>
      <x:c r="E65" s="17" t="str">
        <x:v>Accepted planning baseline</x:v>
      </x:c>
      <x:c r="F65" s="17" t="str">
        <x:v>R061</x:v>
      </x:c>
    </x:row>
    <x:row r="66" ht="78" customHeight="1">
      <x:c r="A66" s="17" t="str">
        <x:v>Q62</x:v>
      </x:c>
      <x:c r="B66" s="17" t="str">
        <x:v>Explicit user decision</x:v>
      </x:c>
      <x:c r="C66" s="17" t="str">
        <x:v>strategies</x:v>
      </x:c>
      <x:c r="D66" s="17" t="str">
        <x:v>Free baseline supports portfolio-specific rebalancing plus a qualified non-intraday long-only strategy.</x:v>
      </x:c>
      <x:c r="E66" s="17" t="str">
        <x:v>Accepted planning baseline</x:v>
      </x:c>
      <x:c r="F66" s="17" t="str">
        <x:v>R062</x:v>
      </x:c>
    </x:row>
    <x:row r="67" ht="78" customHeight="1">
      <x:c r="A67" s="17" t="str">
        <x:v>Q63</x:v>
      </x:c>
      <x:c r="B67" s="17" t="str">
        <x:v>Explicit user decision</x:v>
      </x:c>
      <x:c r="C67" s="17" t="str">
        <x:v>simulation</x:v>
      </x:c>
      <x:c r="D67" s="17" t="str">
        <x:v>User-facing application-managed virtual portfolios and optional approved-policy shadow tracking.</x:v>
      </x:c>
      <x:c r="E67" s="17" t="str">
        <x:v>Accepted planning baseline</x:v>
      </x:c>
      <x:c r="F67" s="17" t="str">
        <x:v>R063</x:v>
      </x:c>
    </x:row>
    <x:row r="68" ht="78" customHeight="1">
      <x:c r="A68" s="17" t="str">
        <x:v>Q64</x:v>
      </x:c>
      <x:c r="B68" s="17" t="str">
        <x:v>Explicit user decision</x:v>
      </x:c>
      <x:c r="C68" s="17" t="str">
        <x:v>analytics</x:v>
      </x:c>
      <x:c r="D68" s="17" t="str">
        <x:v>Versioned goal-appropriate/cash-flow-matched benchmarks and separate actual/simulated/recommendation scorecards.</x:v>
      </x:c>
      <x:c r="E68" s="17" t="str">
        <x:v>Accepted planning baseline</x:v>
      </x:c>
      <x:c r="F68" s="17" t="str">
        <x:v>R064</x:v>
      </x:c>
    </x:row>
    <x:row r="69" ht="78" customHeight="1">
      <x:c r="A69" s="17" t="str">
        <x:v>Q65</x:v>
      </x:c>
      <x:c r="B69" s="17" t="str">
        <x:v>Explicit user decision</x:v>
      </x:c>
      <x:c r="C69" s="17" t="str">
        <x:v>research</x:v>
      </x:c>
      <x:c r="D69" s="17" t="str">
        <x:v>Separate operational qualification, investment evidence and user eligibility; family-specific actionable-use gates.</x:v>
      </x:c>
      <x:c r="E69" s="17" t="str">
        <x:v>Accepted planning baseline</x:v>
      </x:c>
      <x:c r="F69" s="17" t="str">
        <x:v>R065</x:v>
      </x:c>
    </x:row>
    <x:row r="70" ht="78" customHeight="1">
      <x:c r="A70" s="17" t="str">
        <x:v>Q66</x:v>
      </x:c>
      <x:c r="B70" s="17" t="str">
        <x:v>Explicit user decision</x:v>
      </x:c>
      <x:c r="C70" s="17" t="str">
        <x:v>data</x:v>
      </x:c>
      <x:c r="D70" s="17" t="str">
        <x:v>Versioned feed specifications and qualified continuity/reinitialization for provider changes.</x:v>
      </x:c>
      <x:c r="E70" s="17" t="str">
        <x:v>Accepted planning baseline</x:v>
      </x:c>
      <x:c r="F70" s="17" t="str">
        <x:v>R066</x:v>
      </x:c>
    </x:row>
    <x:row r="71" ht="78" customHeight="1">
      <x:c r="A71" s="17" t="str">
        <x:v>Q67</x:v>
      </x:c>
      <x:c r="B71" s="17" t="str">
        <x:v>Explicit user decision</x:v>
      </x:c>
      <x:c r="C71" s="17" t="str">
        <x:v>operations</x:v>
      </x:c>
      <x:c r="D71" s="17" t="str">
        <x:v>Targets: 95 percent factual events within 5s of receipt; rules-only within 15s; AI intraday deadline at most 60s or earlier expiry.</x:v>
      </x:c>
      <x:c r="E71" s="17" t="str">
        <x:v>Accepted planning baseline</x:v>
      </x:c>
      <x:c r="F71" s="17" t="str">
        <x:v>R067</x:v>
      </x:c>
    </x:row>
    <x:row r="72" ht="78" customHeight="1">
      <x:c r="A72" s="17" t="str">
        <x:v>Q68</x:v>
      </x:c>
      <x:c r="B72" s="17" t="str">
        <x:v>Explicit user decision</x:v>
      </x:c>
      <x:c r="C72" s="17" t="str">
        <x:v>risk</x:v>
      </x:c>
      <x:c r="D72" s="17" t="str">
        <x:v>Explicit approved numerical account/allocation/concentration/planned-loss/scenario limits for sizing.</x:v>
      </x:c>
      <x:c r="E72" s="17" t="str">
        <x:v>Accepted planning baseline</x:v>
      </x:c>
      <x:c r="F72" s="17" t="str">
        <x:v>R068</x:v>
      </x:c>
    </x:row>
    <x:row r="73" ht="78" customHeight="1">
      <x:c r="A73" s="17" t="str">
        <x:v>Q69</x:v>
      </x:c>
      <x:c r="B73" s="17" t="str">
        <x:v>Explicit user decision</x:v>
      </x:c>
      <x:c r="C73" s="17" t="str">
        <x:v>risk</x:v>
      </x:c>
      <x:c r="D73" s="17" t="str">
        <x:v>Scoped loss/drawdown triggers pause new risk; monitoring and checked risk reduction continue; controlled resumption.</x:v>
      </x:c>
      <x:c r="E73" s="17" t="str">
        <x:v>Accepted planning baseline</x:v>
      </x:c>
      <x:c r="F73" s="17" t="str">
        <x:v>R069</x:v>
      </x:c>
    </x:row>
    <x:row r="74" ht="78" customHeight="1">
      <x:c r="A74" s="17" t="str">
        <x:v>Q70</x:v>
      </x:c>
      <x:c r="B74" s="17" t="str">
        <x:v>Delegated design selection</x:v>
      </x:c>
      <x:c r="C74" s="17" t="str">
        <x:v>architecture</x:v>
      </x:c>
      <x:c r="D74" s="17" t="str">
        <x:v>Typed Python core, TypeScript/React, PostgreSQL, analytical file/object storage and durable jobs; three authority paths.</x:v>
      </x:c>
      <x:c r="E74" s="17" t="str">
        <x:v>Accepted planning baseline</x:v>
      </x:c>
      <x:c r="F74" s="17" t="str">
        <x:v>R070</x:v>
      </x:c>
    </x:row>
    <x:row r="75" ht="78" customHeight="1">
      <x:c r="A75" s="17" t="str">
        <x:v>Q71</x:v>
      </x:c>
      <x:c r="B75" s="17" t="str">
        <x:v>Delegated design selection</x:v>
      </x:c>
      <x:c r="C75" s="17" t="str">
        <x:v>portfolio</x:v>
      </x:c>
      <x:c r="D75" s="17" t="str">
        <x:v>Reconciled decimal journal with explicit effective/publication/receipt/decision times; one calculation contract.</x:v>
      </x:c>
      <x:c r="E75" s="17" t="str">
        <x:v>Accepted planning baseline</x:v>
      </x:c>
      <x:c r="F75" s="17" t="str">
        <x:v>R071</x:v>
      </x:c>
    </x:row>
    <x:row r="76" ht="78" customHeight="1">
      <x:c r="A76" s="17" t="str">
        <x:v>Q72</x:v>
      </x:c>
      <x:c r="B76" s="17" t="str">
        <x:v>Delegated design selection</x:v>
      </x:c>
      <x:c r="C76" s="17" t="str">
        <x:v>strategies</x:v>
      </x:c>
      <x:c r="D76" s="17" t="str">
        <x:v>Interpretable six-family starting implementations; 6-month/200-day momentum and 15-minute ORB are unqualified research defaults.</x:v>
      </x:c>
      <x:c r="E76" s="17" t="str">
        <x:v>Accepted planning baseline</x:v>
      </x:c>
      <x:c r="F76" s="17" t="str">
        <x:v>R072</x:v>
      </x:c>
    </x:row>
    <x:row r="77" ht="78" customHeight="1">
      <x:c r="A77" s="17" t="str">
        <x:v>Q73</x:v>
      </x:c>
      <x:c r="B77" s="17" t="str">
        <x:v>Delegated design selection</x:v>
      </x:c>
      <x:c r="C77" s="17" t="str">
        <x:v>integrations</x:v>
      </x:c>
      <x:c r="D77" s="17" t="str">
        <x:v>Capability/rights/degraded-state registry; provider/entitlement changes require reassessment.</x:v>
      </x:c>
      <x:c r="E77" s="17" t="str">
        <x:v>Accepted planning baseline</x:v>
      </x:c>
      <x:c r="F77" s="17" t="str">
        <x:v>R073</x:v>
      </x:c>
    </x:row>
    <x:row r="78" ht="78" customHeight="1">
      <x:c r="A78" s="17" t="str">
        <x:v>Q74</x:v>
      </x:c>
      <x:c r="B78" s="17" t="str">
        <x:v>Delegated design selection</x:v>
      </x:c>
      <x:c r="C78" s="17" t="str">
        <x:v>ai</x:v>
      </x:c>
      <x:c r="D78" s="17" t="str">
        <x:v>Persisted bounded workflows, explicit model/runtime versions, no silent paid/provider fallback.</x:v>
      </x:c>
      <x:c r="E78" s="17" t="str">
        <x:v>Accepted planning baseline</x:v>
      </x:c>
      <x:c r="F78" s="17" t="str">
        <x:v>R074</x:v>
      </x:c>
    </x:row>
    <x:row r="79" ht="78" customHeight="1">
      <x:c r="A79" s="17" t="str">
        <x:v>Q75</x:v>
      </x:c>
      <x:c r="B79" s="17" t="str">
        <x:v>Delegated design selection</x:v>
      </x:c>
      <x:c r="C79" s="17" t="str">
        <x:v>security</x:v>
      </x:c>
      <x:c r="D79" s="17" t="str">
        <x:v>Read-only operation allowlists, secrets outside agents, tenant isolation including nonowner/nonbypass DB roles.</x:v>
      </x:c>
      <x:c r="E79" s="17" t="str">
        <x:v>Accepted planning baseline</x:v>
      </x:c>
      <x:c r="F79" s="17" t="str">
        <x:v>R075</x:v>
      </x:c>
    </x:row>
    <x:row r="80" ht="78" customHeight="1">
      <x:c r="A80" s="17" t="str">
        <x:v>Q76</x:v>
      </x:c>
      <x:c r="B80" s="17" t="str">
        <x:v>Delegated design selection</x:v>
      </x:c>
      <x:c r="C80" s="17" t="str">
        <x:v>improvement</x:v>
      </x:c>
      <x:c r="D80" s="17" t="str">
        <x:v>gVisor initial Linux sandbox qualification target; full recursive scope; reviewed signed promotion and compatible rollback.</x:v>
      </x:c>
      <x:c r="E80" s="17" t="str">
        <x:v>Accepted planning baseline</x:v>
      </x:c>
      <x:c r="F80" s="17" t="str">
        <x:v>R076</x:v>
      </x:c>
    </x:row>
    <x:row r="81" ht="78" customHeight="1">
      <x:c r="A81" s="17" t="str">
        <x:v>Q77</x:v>
      </x:c>
      <x:c r="B81" s="17" t="str">
        <x:v>Delegated design selection</x:v>
      </x:c>
      <x:c r="C81" s="17" t="str">
        <x:v>operations</x:v>
      </x:c>
      <x:c r="D81" s="17" t="str">
        <x:v>Hosted targets 99.9 percent availability, 15-minute RPO and 4-hour RTO; receipts not guarantees.</x:v>
      </x:c>
      <x:c r="E81" s="17" t="str">
        <x:v>Accepted planning baseline</x:v>
      </x:c>
      <x:c r="F81" s="17" t="str">
        <x:v>R077</x:v>
      </x:c>
    </x:row>
    <x:row r="82" ht="78" customHeight="1">
      <x:c r="A82" s="17" t="str">
        <x:v>Q78</x:v>
      </x:c>
      <x:c r="B82" s="17" t="str">
        <x:v>Delegated design selection</x:v>
      </x:c>
      <x:c r="C82" s="17" t="str">
        <x:v>testing</x:v>
      </x:c>
      <x:c r="D82" s="17" t="str">
        <x:v>End-to-end release journeys cover free mode, overlap, AI, intraday, options, risk pause, simulation, improvement, migration and isolation.</x:v>
      </x:c>
      <x:c r="E82" s="17" t="str">
        <x:v>Accepted planning baseline</x:v>
      </x:c>
      <x:c r="F82" s="17" t="str">
        <x:v>R078</x:v>
      </x:c>
    </x:row>
    <x:row r="83" ht="78" customHeight="1">
      <x:c r="A83" s="17" t="str">
        <x:v>Q79</x:v>
      </x:c>
      <x:c r="B83" s="17" t="str">
        <x:v>Delegated design selection</x:v>
      </x:c>
      <x:c r="C83" s="17" t="str">
        <x:v>governance</x:v>
      </x:c>
      <x:c r="D83" s="17" t="str">
        <x:v>Separate design choices from factual provider/legal/security/performance/economic gates.</x:v>
      </x:c>
      <x:c r="E83" s="17" t="str">
        <x:v>Accepted planning baseline</x:v>
      </x:c>
      <x:c r="F83" s="17" t="str">
        <x:v>R079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675370fc0fa49c7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6" hidden="0" customWidth="1"/>
    <x:col min="3" max="3" width="58" hidden="0" customWidth="1"/>
    <x:col min="4" max="4" width="35" hidden="0" customWidth="1"/>
    <x:col min="5" max="5" width="56" hidden="0" customWidth="1"/>
    <x:col min="6" max="6" width="56" hidden="0" customWidth="1"/>
    <x:col min="7" max="7" width="15" hidden="0" customWidth="1"/>
  </x:cols>
  <x:sheetData>
    <x:row r="1" ht="32" customHeight="1">
      <x:c r="A1" s="3" t="str">
        <x:v>DATED PRIMARY SOURCE REGISTER</x:v>
      </x:c>
      <x:c r="B1" s="3"/>
      <x:c r="C1" s="3"/>
      <x:c r="D1" s="3"/>
      <x:c r="E1" s="3"/>
      <x:c r="F1" s="3"/>
      <x:c r="G1" s="3"/>
    </x:row>
    <x:row r="2" ht="34" customHeight="1">
      <x:c r="A2" s="7" t="str">
        <x:v>Checked 8 October 2026. Current provider/legal facts must be requalified before release. Library excerpt references are not public URLs.</x:v>
      </x:c>
      <x:c r="B2" s="7"/>
      <x:c r="C2" s="7"/>
      <x:c r="D2" s="7"/>
      <x:c r="E2" s="7"/>
      <x:c r="F2" s="7"/>
      <x:c r="G2" s="7"/>
    </x:row>
    <x:row r="4" ht="30" customHeight="1">
      <x:c r="A4" s="12" t="str">
        <x:v>Source</x:v>
      </x:c>
      <x:c r="B4" s="12" t="str">
        <x:v>Title</x:v>
      </x:c>
      <x:c r="C4" s="12" t="str">
        <x:v>URL / library reference</x:v>
      </x:c>
      <x:c r="D4" s="12" t="str">
        <x:v>Verification performed</x:v>
      </x:c>
      <x:c r="E4" s="12" t="str">
        <x:v>Supported point</x:v>
      </x:c>
      <x:c r="F4" s="12" t="str">
        <x:v>Limitation</x:v>
      </x:c>
      <x:c r="G4" s="12" t="str">
        <x:v>Checked on</x:v>
      </x:c>
    </x:row>
    <x:row r="5" ht="78" customHeight="1">
      <x:c r="A5" s="17" t="str">
        <x:v>SRC-01</x:v>
      </x:c>
      <x:c r="B5" s="17" t="str">
        <x:v>Alpaca Market Data plans</x:v>
      </x:c>
      <x:c r="C5" s="17" t="str">
        <x:v>https://docs.alpaca.markets/us/docs/about-market-data-api</x:v>
      </x:c>
      <x:c r="D5" s="17" t="str">
        <x:v>Official documentation inspected</x:v>
      </x:c>
      <x:c r="E5" s="17" t="str">
        <x:v>Individual Basic lists IEX-only stocks, 30 stock streams, 200 historical requests/minute, indicative options. Individual and business arrangements differ.</x:v>
      </x:c>
      <x:c r="F5" s="17" t="str">
        <x:v>Provider/runtime/rights testing still required.</x:v>
      </x:c>
      <x:c r="G5" s="17" t="str">
        <x:v>2026-10-08</x:v>
      </x:c>
    </x:row>
    <x:row r="6" ht="78" customHeight="1">
      <x:c r="A6" s="17" t="str">
        <x:v>SRC-02</x:v>
      </x:c>
      <x:c r="B6" s="17" t="str">
        <x:v>Alpaca feed semantics</x:v>
      </x:c>
      <x:c r="C6" s="17" t="str">
        <x:v>https://docs.alpaca.markets/us/docs/market-data-faq</x:v>
      </x:c>
      <x:c r="D6" s="17" t="str">
        <x:v>Official documentation inspected</x:v>
      </x:c>
      <x:c r="E6" s="17" t="str">
        <x:v>Historical feed selection is explicit; free SIP history requires end at least 15 minutes old. Subscription-default feed selection can change.</x:v>
      </x:c>
      <x:c r="F6" s="17" t="str">
        <x:v>No assumption of consolidated live quotes in the free mode.</x:v>
      </x:c>
      <x:c r="G6" s="17" t="str">
        <x:v>2026-10-08</x:v>
      </x:c>
    </x:row>
    <x:row r="7" ht="78" customHeight="1">
      <x:c r="A7" s="17" t="str">
        <x:v>SRC-03</x:v>
      </x:c>
      <x:c r="B7" s="17" t="str">
        <x:v>Alpaca paper environment</x:v>
      </x:c>
      <x:c r="C7" s="17" t="str">
        <x:v>https://docs.alpaca.markets/us/docs/paper-trading</x:v>
      </x:c>
      <x:c r="D7" s="17" t="str">
        <x:v>Official documentation inspected</x:v>
      </x:c>
      <x:c r="E7" s="17" t="str">
        <x:v>Paper simulation omits important real execution effects. Paper-only access is a candidate for free onboarding.</x:v>
      </x:c>
      <x:c r="F7" s="17" t="str">
        <x:v>Our simulator must declare its own economics; paper results are not proof of real performance.</x:v>
      </x:c>
      <x:c r="G7" s="17" t="str">
        <x:v>2026-10-08</x:v>
      </x:c>
    </x:row>
    <x:row r="8" ht="78" customHeight="1">
      <x:c r="A8" s="17" t="str">
        <x:v>SRC-04</x:v>
      </x:c>
      <x:c r="B8" s="17" t="str">
        <x:v>SnapTrade broker access</x:v>
      </x:c>
      <x:c r="C8" s="17" t="str">
        <x:v>https://docs.snaptrade.com/docs/broker-access-guide</x:v>
      </x:c>
      <x:c r="D8" s="17" t="str">
        <x:v>Official documentation inspected</x:v>
      </x:c>
      <x:c r="E8" s="17" t="str">
        <x:v>Broker guide lists supported integration routes, with production access requirements.</x:v>
      </x:c>
      <x:c r="F8" s="17" t="str">
        <x:v>Test each broker, account type, auth method, deployment and field; names on a list are not acceptance evidence.</x:v>
      </x:c>
      <x:c r="G8" s="17" t="str">
        <x:v>2026-10-08</x:v>
      </x:c>
    </x:row>
    <x:row r="9" ht="78" customHeight="1">
      <x:c r="A9" s="17" t="str">
        <x:v>SRC-05</x:v>
      </x:c>
      <x:c r="B9" s="17" t="str">
        <x:v>SnapTrade trade detection</x:v>
      </x:c>
      <x:c r="C9" s="17" t="str">
        <x:v>https://docs.snaptrade.com/docs/trade-detection</x:v>
      </x:c>
      <x:c r="D9" s="17" t="str">
        <x:v>Official documentation inspected</x:v>
      </x:c>
      <x:c r="E9" s="17" t="str">
        <x:v>Wealthsimple and Questrade trade detection is documented at five-minute-or-longer intervals.</x:v>
      </x:c>
      <x:c r="F9" s="17" t="str">
        <x:v>Account-state freshness must be separate from quote and processing latency.</x:v>
      </x:c>
      <x:c r="G9" s="17" t="str">
        <x:v>2026-10-08</x:v>
      </x:c>
    </x:row>
    <x:row r="10" ht="78" customHeight="1">
      <x:c r="A10" s="17" t="str">
        <x:v>SRC-06</x:v>
      </x:c>
      <x:c r="B10" s="17" t="str">
        <x:v>Questrade API</x:v>
      </x:c>
      <x:c r="C10" s="17" t="str">
        <x:v>https://www.questrade.com/api</x:v>
      </x:c>
      <x:c r="D10" s="17" t="str">
        <x:v>Official documentation inspected</x:v>
      </x:c>
      <x:c r="E10" s="17" t="str">
        <x:v>Personal users can access account/market information; API trade execution is limited to partner developers.</x:v>
      </x:c>
      <x:c r="F10" s="17" t="str">
        <x:v>Read-only capabilities only; company integration permission is a separate gate.</x:v>
      </x:c>
      <x:c r="G10" s="17" t="str">
        <x:v>2026-10-08</x:v>
      </x:c>
    </x:row>
    <x:row r="11" ht="78" customHeight="1">
      <x:c r="A11" s="17" t="str">
        <x:v>SRC-07</x:v>
      </x:c>
      <x:c r="B11" s="17" t="str">
        <x:v>IBKR Web API</x:v>
      </x:c>
      <x:c r="C11" s="17" t="str">
        <x:v>https://www.interactivebrokers.com/campus/ibkr-api-page/webapi-doc/</x:v>
      </x:c>
      <x:c r="D11" s="17" t="str">
        <x:v>Official documentation inspected</x:v>
      </x:c>
      <x:c r="E11" s="17" t="str">
        <x:v>Read-only portfolio subset exists. Third-party vendor integration requires approval and a distinct authentication process.</x:v>
      </x:c>
      <x:c r="F11" s="17" t="str">
        <x:v>No unattended commercial or local auth route assumed from a personal login.</x:v>
      </x:c>
      <x:c r="G11" s="17" t="str">
        <x:v>2026-10-08</x:v>
      </x:c>
    </x:row>
    <x:row r="12" ht="78" customHeight="1">
      <x:c r="A12" s="17" t="str">
        <x:v>SRC-08</x:v>
      </x:c>
      <x:c r="B12" s="17" t="str">
        <x:v>Wealthsimple activity export</x:v>
      </x:c>
      <x:c r="C12" s="17" t="str">
        <x:v>https://help.wealthsimple.com/hc/en-ca/articles/39449252453019-View-your-account-activity-and-running-balance</x:v>
      </x:c>
      <x:c r="D12" s="17" t="str">
        <x:v>Official documentation inspected</x:v>
      </x:c>
      <x:c r="E12" s="17" t="str">
        <x:v>Activity CSV download is documented.</x:v>
      </x:c>
      <x:c r="F12" s="17" t="str">
        <x:v>Real anonymized samples and corporate-action reconciliation are not yet tested.</x:v>
      </x:c>
      <x:c r="G12" s="17" t="str">
        <x:v>2026-10-08</x:v>
      </x:c>
    </x:row>
    <x:row r="13" ht="78" customHeight="1">
      <x:c r="A13" s="17" t="str">
        <x:v>SRC-09</x:v>
      </x:c>
      <x:c r="B13" s="17" t="str">
        <x:v>Yahoo portfolio CSV</x:v>
      </x:c>
      <x:c r="C13" s="17" t="str">
        <x:v>https://help.yahoo.com/kb/finance-for-web/download-portfolio-data-yahoo-finance-sln15034.html</x:v>
      </x:c>
      <x:c r="D13" s="17" t="str">
        <x:v>Official search excerpt only; direct open failed</x:v>
      </x:c>
      <x:c r="E13" s="17" t="str">
        <x:v>Yahoo help describes portfolio/list CSV transfer.</x:v>
      </x:c>
      <x:c r="F13" s="17" t="str">
        <x:v>Exact current columns, round-trip loss and transaction completeness remain sample-based qualification gates. Not a Yahoo market data license.</x:v>
      </x:c>
      <x:c r="G13" s="17" t="str">
        <x:v>2026-10-08</x:v>
      </x:c>
    </x:row>
    <x:row r="14" ht="78" customHeight="1">
      <x:c r="A14" s="17" t="str">
        <x:v>SRC-10</x:v>
      </x:c>
      <x:c r="B14" s="17" t="str">
        <x:v>SEC EDGAR APIs</x:v>
      </x:c>
      <x:c r="C14" s="17" t="str">
        <x:v>https://www.sec.gov/search-filings/edgar-application-programming-interfaces</x:v>
      </x:c>
      <x:c r="D14" s="17" t="str">
        <x:v>Official documentation inspected</x:v>
      </x:c>
      <x:c r="E14" s="17" t="str">
        <x:v>SEC provides submissions and XBRL APIs.</x:v>
      </x:c>
      <x:c r="F14" s="17" t="str">
        <x:v>Respect fair-access rules; publication dates, units and restatements require normalization. No analyst-consensus promise.</x:v>
      </x:c>
      <x:c r="G14" s="17" t="str">
        <x:v>2026-10-08</x:v>
      </x:c>
    </x:row>
    <x:row r="15" ht="78" customHeight="1">
      <x:c r="A15" s="17" t="str">
        <x:v>SRC-11</x:v>
      </x:c>
      <x:c r="B15" s="17" t="str">
        <x:v>Bank of Canada Valet</x:v>
      </x:c>
      <x:c r="C15" s="17" t="str">
        <x:v>https://www.bankofcanada.ca/valet-api-how-to/</x:v>
      </x:c>
      <x:c r="D15" s="17" t="str">
        <x:v>Official documentation inspected</x:v>
      </x:c>
      <x:c r="E15" s="17" t="str">
        <x:v>Valet has no usage charge, registration or access-key requirement; daily data can be cached.</x:v>
      </x:c>
      <x:c r="F15" s="17" t="str">
        <x:v>Reference FX, not an executable conversion quote; respect terms and data timing.</x:v>
      </x:c>
      <x:c r="G15" s="17" t="str">
        <x:v>2026-10-08</x:v>
      </x:c>
    </x:row>
    <x:row r="16" ht="78" customHeight="1">
      <x:c r="A16" s="17" t="str">
        <x:v>SRC-12</x:v>
      </x:c>
      <x:c r="B16" s="17" t="str">
        <x:v>ChatGPT plan in other apps</x:v>
      </x:c>
      <x:c r="C16" s="17" t="str">
        <x:v>https://help.openai.com/en/articles/20001542-using-your-chatgpt-plan-in-other-apps-and-sites</x:v>
      </x:c>
      <x:c r="D16" s="17" t="str">
        <x:v>Official documentation inspected</x:v>
      </x:c>
      <x:c r="E16" s="17" t="str">
        <x:v>Plan-funded requests are available in participating apps/tools subject to eligibility and plan rules.</x:v>
      </x:c>
      <x:c r="F16" s="17" t="str">
        <x:v>App participation, deployment and permissible financial use must be qualified; no universal subscription API.</x:v>
      </x:c>
      <x:c r="G16" s="17" t="str">
        <x:v>2026-10-08</x:v>
      </x:c>
    </x:row>
    <x:row r="17" ht="78" customHeight="1">
      <x:c r="A17" s="17" t="str">
        <x:v>SRC-13</x:v>
      </x:c>
      <x:c r="B17" s="17" t="str">
        <x:v>Claude Code authentication rules</x:v>
      </x:c>
      <x:c r="C17" s="17" t="str">
        <x:v>https://code.claude.com/docs/en/legal-and-compliance</x:v>
      </x:c>
      <x:c r="D17" s="17" t="str">
        <x:v>Official documentation inspected</x:v>
      </x:c>
      <x:c r="E17" s="17" t="str">
        <x:v>Native unmodified Claude Code authentication is distinguished from prohibited collection/intermediation of Claude.ai credentials by third parties.</x:v>
      </x:c>
      <x:c r="F17" s="17" t="str">
        <x:v>Use API keys or approved native flow; no session-token proxy. Hosted feasibility remains open.</x:v>
      </x:c>
      <x:c r="G17" s="17" t="str">
        <x:v>2026-10-08</x:v>
      </x:c>
    </x:row>
    <x:row r="18" ht="78" customHeight="1">
      <x:c r="A18" s="17" t="str">
        <x:v>SRC-14</x:v>
      </x:c>
      <x:c r="B18" s="17" t="str">
        <x:v>xAI API authentication</x:v>
      </x:c>
      <x:c r="C18" s="17" t="str">
        <x:v>https://docs.x.ai/developers/rest-api-reference/management/auth</x:v>
      </x:c>
      <x:c r="D18" s="17" t="str">
        <x:v>Official documentation inspected</x:v>
      </x:c>
      <x:c r="E18" s="17" t="str">
        <x:v>API keys authenticate inference requests as bearer credentials.</x:v>
      </x:c>
      <x:c r="F18" s="17" t="str">
        <x:v>API adapter required; consumer-subscription access is not promised.</x:v>
      </x:c>
      <x:c r="G18" s="17" t="str">
        <x:v>2026-10-08</x:v>
      </x:c>
    </x:row>
    <x:row r="19" ht="78" customHeight="1">
      <x:c r="A19" s="17" t="str">
        <x:v>SRC-15</x:v>
      </x:c>
      <x:c r="B19" s="17" t="str">
        <x:v>PostgreSQL row security</x:v>
      </x:c>
      <x:c r="C19" s="17" t="str">
        <x:v>https://www.postgresql.org/docs/current/ddl-rowsecurity.html</x:v>
      </x:c>
      <x:c r="D19" s="17" t="str">
        <x:v>Official documentation inspected</x:v>
      </x:c>
      <x:c r="E19" s="17" t="str">
        <x:v>Superusers, BYPASSRLS roles and ordinarily table owners can bypass row security.</x:v>
      </x:c>
      <x:c r="F19" s="17" t="str">
        <x:v>Use nonowner/nonbypass service roles and explicit isolation tests; RLS alone is insufficient.</x:v>
      </x:c>
      <x:c r="G19" s="17" t="str">
        <x:v>2026-10-08</x:v>
      </x:c>
    </x:row>
    <x:row r="20" ht="78" customHeight="1">
      <x:c r="A20" s="17" t="str">
        <x:v>SRC-16</x:v>
      </x:c>
      <x:c r="B20" s="17" t="str">
        <x:v>gVisor overview</x:v>
      </x:c>
      <x:c r="C20" s="17" t="str">
        <x:v>https://gvisor.dev/docs/</x:v>
      </x:c>
      <x:c r="D20" s="17" t="str">
        <x:v>Official documentation inspected</x:v>
      </x:c>
      <x:c r="E20" s="17" t="str">
        <x:v>gVisor provides an application-kernel isolation approach integrated with container execution.</x:v>
      </x:c>
      <x:c r="F20" s="17" t="str">
        <x:v>Chosen Linux sandbox qualification target, not proof of sufficient security or universal host compatibility.</x:v>
      </x:c>
      <x:c r="G20" s="17" t="str">
        <x:v>2026-10-08</x:v>
      </x:c>
    </x:row>
    <x:row r="21" ht="78" customHeight="1">
      <x:c r="A21" s="17" t="str">
        <x:v>SRC-17</x:v>
      </x:c>
      <x:c r="B21" s="17" t="str">
        <x:v>BCSC securities fundamentals</x:v>
      </x:c>
      <x:c r="C21" s="17" t="str">
        <x:v>https://www.bcsc.bc.ca/industry/financial-technology-innovation/securities-law-fundamentals</x:v>
      </x:c>
      <x:c r="D21" s="17" t="str">
        <x:v>Official documentation inspected</x:v>
      </x:c>
      <x:c r="E21" s="17" t="str">
        <x:v>Being in the business of advising about securities can engage registration requirements, subject to applicable exemptions.</x:v>
      </x:c>
      <x:c r="F21" s="17" t="str">
        <x:v>Counsel must classify this actual non-discretionary product per jurisdiction. A disclaimer is not clearance.</x:v>
      </x:c>
      <x:c r="G21" s="17" t="str">
        <x:v>2026-10-08</x:v>
      </x:c>
    </x:row>
    <x:row r="22" ht="78" customHeight="1">
      <x:c r="A22" s="17" t="str">
        <x:v>SRC-18</x:v>
      </x:c>
      <x:c r="B22" s="17" t="str">
        <x:v>SEC investor bulletin on robo-advisers</x:v>
      </x:c>
      <x:c r="C22" s="17" t="str">
        <x:v>https://www.investor.gov/introduction-investing/general-resources/news-alerts/alerts-bulletins/investor-bulletins-45</x:v>
      </x:c>
      <x:c r="D22" s="17" t="str">
        <x:v>Official regulator guidance inspected</x:v>
      </x:c>
      <x:c r="E22" s="17" t="str">
        <x:v>Automated investment advice has securities-law considerations, including SEC/state adviser frameworks.</x:v>
      </x:c>
      <x:c r="F22" s="17" t="str">
        <x:v>Not a product-specific determination; map federal and relevant state obligations with counsel.</x:v>
      </x:c>
      <x:c r="G22" s="17" t="str">
        <x:v>2026-10-08</x:v>
      </x:c>
    </x:row>
    <x:row r="23" ht="78" customHeight="1">
      <x:c r="A23" s="17" t="str">
        <x:v>SRC-19</x:v>
      </x:c>
      <x:c r="B23" s="17" t="str">
        <x:v>FINRA stop-order risks</x:v>
      </x:c>
      <x:c r="C23" s="17" t="str">
        <x:v>https://www.finra.org/investors/insights/stop-orders-factors-consider-during-volatile-markets</x:v>
      </x:c>
      <x:c r="D23" s="17" t="str">
        <x:v>Official guidance inspected</x:v>
      </x:c>
      <x:c r="E23" s="17" t="str">
        <x:v>A stop trigger does not guarantee the execution price, and stop-limit orders may not execute.</x:v>
      </x:c>
      <x:c r="F23" s="17" t="str">
        <x:v>Planned stop loss is a scenario, not guaranteed maximum loss.</x:v>
      </x:c>
      <x:c r="G23" s="17" t="str">
        <x:v>2026-10-08</x:v>
      </x:c>
    </x:row>
    <x:row r="24" ht="78" customHeight="1">
      <x:c r="A24" s="17" t="str">
        <x:v>SRC-20</x:v>
      </x:c>
      <x:c r="B24" s="17" t="str">
        <x:v>OIC assignment</x:v>
      </x:c>
      <x:c r="C24" s="17" t="str">
        <x:v>https://www.optionseducation.org/referencelibrary/faq/options-assignment</x:v>
      </x:c>
      <x:c r="D24" s="17" t="str">
        <x:v>Official industry education inspected</x:v>
      </x:c>
      <x:c r="E24" s="17" t="str">
        <x:v>American-style short options can be assigned before expiry.</x:v>
      </x:c>
      <x:c r="F24" s="17" t="str">
        <x:v>Separate expiration payoff from pathwise collateral, assignment and settlement risk.</x:v>
      </x:c>
      <x:c r="G24" s="17" t="str">
        <x:v>2026-10-08</x:v>
      </x:c>
    </x:row>
    <x:row r="25" ht="78" customHeight="1">
      <x:c r="A25" s="17" t="str">
        <x:v>SRC-21</x:v>
      </x:c>
      <x:c r="B25" s="17" t="str">
        <x:v>OIC vertical put spreads</x:v>
      </x:c>
      <x:c r="C25" s="17" t="str">
        <x:v>https://www.optionseducation.org/strategies/all-strategies/bear-put-spread</x:v>
      </x:c>
      <x:c r="D25" s="17" t="str">
        <x:v>Official industry education inspected</x:v>
      </x:c>
      <x:c r="E25" s="17" t="str">
        <x:v>Vertical-spread analysis includes early-assignment and financing consequences, not merely an expiry payoff.</x:v>
      </x:c>
      <x:c r="F25" s="17" t="str">
        <x:v>Do not model a spread as an inseparable atomic position throughout its life.</x:v>
      </x:c>
      <x:c r="G25" s="17" t="str">
        <x:v>2026-10-08</x:v>
      </x:c>
    </x:row>
    <x:row r="26" ht="78" customHeight="1">
      <x:c r="A26" s="17" t="str">
        <x:v>SRC-22</x:v>
      </x:c>
      <x:c r="B26" s="17" t="str">
        <x:v>Probability of Backtest Overfitting</x:v>
      </x:c>
      <x:c r="C26" s="17" t="str">
        <x:v>https://scholarworks.wmich.edu/math_pubs/42/</x:v>
      </x:c>
      <x:c r="D26" s="17" t="str">
        <x:v>Primary research landing page inspected</x:v>
      </x:c>
      <x:c r="E26" s="17" t="str">
        <x:v>Bailey, Borwein, Lopez de Prado and Zhu discuss selection-related backtest overfitting and a diagnostic framework.</x:v>
      </x:c>
      <x:c r="F26" s="17" t="str">
        <x:v>Diagnostics inform research; no universal test proves a trading edge.</x:v>
      </x:c>
      <x:c r="G26" s="17" t="str">
        <x:v>2026-10-08</x:v>
      </x:c>
    </x:row>
    <x:row r="27" ht="78" customHeight="1">
      <x:c r="A27" s="17" t="str">
        <x:v>SRC-23</x:v>
      </x:c>
      <x:c r="B27" s="17" t="str">
        <x:v>Apache License 2.0</x:v>
      </x:c>
      <x:c r="C27" s="17" t="str">
        <x:v>https://www.apache.org/licenses/LICENSE-2.0.txt</x:v>
      </x:c>
      <x:c r="D27" s="17" t="str">
        <x:v>Official license text inspected</x:v>
      </x:c>
      <x:c r="E27" s="17" t="str">
        <x:v>Chosen project license. Dependencies, datasets, prompts and model terms still require separate compatibility review.</x:v>
      </x:c>
      <x:c r="F27" s="17" t="str">
        <x:v>Copyright ownership/contributor policy must be finalized before public publication.</x:v>
      </x:c>
      <x:c r="G27" s="17" t="str">
        <x:v>2026-10-08</x:v>
      </x:c>
    </x:row>
    <x:row r="28" ht="78" customHeight="1">
      <x:c r="A28" s="17" t="str">
        <x:v>SRC-24</x:v>
      </x:c>
      <x:c r="B28" s="17" t="str">
        <x:v>Codex AGENTS.md</x:v>
      </x:c>
      <x:c r="C28" s="17" t="str">
        <x:v>https://learn.chatgpt.com/docs/agent-configuration/agents-md</x:v>
      </x:c>
      <x:c r="D28" s="17" t="str">
        <x:v>Official documentation inspected</x:v>
      </x:c>
      <x:c r="E28" s="17" t="str">
        <x:v>AGENTS.md provides repository instructions with discovery/precedence rules.</x:v>
      </x:c>
      <x:c r="F28" s="17" t="str">
        <x:v>Verify actual client version and applicable instructions in the target repository.</x:v>
      </x:c>
      <x:c r="G28" s="17" t="str">
        <x:v>2026-10-08</x:v>
      </x:c>
    </x:row>
    <x:row r="29" ht="78" customHeight="1">
      <x:c r="A29" s="17" t="str">
        <x:v>SRC-25</x:v>
      </x:c>
      <x:c r="B29" s="17" t="str">
        <x:v>Codex execution plans</x:v>
      </x:c>
      <x:c r="C29" s="17" t="str">
        <x:v>https://developers.openai.com/cookbook/articles/codex_exec_plans</x:v>
      </x:c>
      <x:c r="D29" s="17" t="str">
        <x:v>Official documentation inspected</x:v>
      </x:c>
      <x:c r="E29" s="17" t="str">
        <x:v>Persistent execution plans can specify goals, steps and verification evidence for longer work.</x:v>
      </x:c>
      <x:c r="F29" s="17" t="str">
        <x:v>This bundle supplies its own bounded task contracts; no external plugin is required.</x:v>
      </x:c>
      <x:c r="G29" s="17" t="str">
        <x:v>2026-10-08</x:v>
      </x:c>
    </x:row>
    <x:row r="30" ht="78" customHeight="1">
      <x:c r="A30" s="17" t="str">
        <x:v>SRC-26</x:v>
      </x:c>
      <x:c r="B30" s="17" t="str">
        <x:v>Existing user AC/ECC compatibility guide</x:v>
      </x:c>
      <x:c r="C30" s="17" t="str">
        <x:v>Library: Codex_AC_ECC_Setup.md, 2026-10-06</x:v>
      </x:c>
      <x:c r="D30" s="17" t="str">
        <x:v>User Library excerpt inspected</x:v>
      </x:c>
      <x:c r="E30" s="17" t="str">
        <x:v>Existing guide uses AGENTS.md, CLAUDE.md and a shared .agentic state; configured checks must not be overwritten.</x:v>
      </x:c>
      <x:c r="F30" s="17" t="str">
        <x:v>This bundle is an original project-specific handoff, not the ECC distribution or an installer.</x:v>
      </x:c>
      <x:c r="G30" s="17" t="str">
        <x:v>2026-10-08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09f8d2dafa84ed0"/>
  </x:tableParts>
</x:worksheet>
</file>